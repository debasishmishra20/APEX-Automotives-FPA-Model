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s\OneDrive\Desktop\Plan Mozzart\"/>
    </mc:Choice>
  </mc:AlternateContent>
  <xr:revisionPtr revIDLastSave="0" documentId="13_ncr:1_{79AFE4EE-0A1D-4FF6-A2C4-65A54D19C93B}" xr6:coauthVersionLast="47" xr6:coauthVersionMax="47" xr10:uidLastSave="{00000000-0000-0000-0000-000000000000}"/>
  <bookViews>
    <workbookView xWindow="-120" yWindow="-120" windowWidth="29040" windowHeight="15720" xr2:uid="{42011396-5C4E-468B-ADF2-F08F41B88F4D}"/>
  </bookViews>
  <sheets>
    <sheet name="Dashboard" sheetId="5" r:id="rId1"/>
    <sheet name="Assumptions" sheetId="6" r:id="rId2"/>
    <sheet name="Forecast_Model" sheetId="1" r:id="rId3"/>
    <sheet name="Graphs" sheetId="7" r:id="rId4"/>
  </sheets>
  <definedNames>
    <definedName name="_xlchart.v5.0" hidden="1">Graphs!$C$249:$C$252</definedName>
    <definedName name="_xlchart.v5.1" hidden="1">Graphs!$F$249:$F$252</definedName>
    <definedName name="_xlchart.v5.2" hidden="1">Graphs!$C$259:$C$263</definedName>
    <definedName name="_xlchart.v5.3" hidden="1">Graphs!$F$259:$F$263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3" i="7" l="1"/>
  <c r="S3" i="5"/>
  <c r="C5" i="1"/>
  <c r="D6" i="1"/>
  <c r="C216" i="7"/>
  <c r="C215" i="7"/>
  <c r="H136" i="7"/>
  <c r="P22" i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O22" i="1"/>
  <c r="N22" i="1"/>
  <c r="M22" i="1"/>
  <c r="L22" i="1"/>
  <c r="K22" i="1"/>
  <c r="J22" i="1"/>
  <c r="I22" i="1"/>
  <c r="H22" i="1"/>
  <c r="G22" i="1"/>
  <c r="F22" i="1"/>
  <c r="E22" i="1"/>
  <c r="P18" i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O18" i="1"/>
  <c r="N18" i="1"/>
  <c r="M18" i="1"/>
  <c r="L18" i="1"/>
  <c r="K18" i="1"/>
  <c r="J18" i="1"/>
  <c r="I18" i="1"/>
  <c r="H18" i="1"/>
  <c r="G18" i="1"/>
  <c r="F18" i="1"/>
  <c r="E18" i="1"/>
  <c r="F259" i="7"/>
  <c r="F249" i="7"/>
  <c r="C199" i="7"/>
  <c r="C198" i="7"/>
  <c r="F136" i="7"/>
  <c r="C182" i="7"/>
  <c r="C181" i="7"/>
  <c r="I136" i="7"/>
  <c r="J136" i="7"/>
  <c r="J137" i="7"/>
  <c r="K137" i="7"/>
  <c r="L137" i="7"/>
  <c r="C165" i="7"/>
  <c r="C164" i="7"/>
  <c r="C148" i="7"/>
  <c r="C147" i="7"/>
  <c r="K136" i="7"/>
  <c r="Q137" i="7"/>
  <c r="P137" i="7"/>
  <c r="O137" i="7"/>
  <c r="N137" i="7"/>
  <c r="M137" i="7"/>
  <c r="I137" i="7"/>
  <c r="H137" i="7"/>
  <c r="G137" i="7"/>
  <c r="F137" i="7"/>
  <c r="Q136" i="7"/>
  <c r="P136" i="7"/>
  <c r="O136" i="7"/>
  <c r="N136" i="7"/>
  <c r="M136" i="7"/>
  <c r="L136" i="7"/>
  <c r="G136" i="7"/>
  <c r="E20" i="6"/>
  <c r="D20" i="6"/>
  <c r="G98" i="1"/>
  <c r="F262" i="7" s="1"/>
  <c r="H53" i="1"/>
  <c r="G53" i="1"/>
  <c r="G96" i="1" s="1"/>
  <c r="F260" i="7" s="1"/>
  <c r="F101" i="1"/>
  <c r="E101" i="1"/>
  <c r="H93" i="1"/>
  <c r="G97" i="1"/>
  <c r="F261" i="7" s="1"/>
  <c r="H89" i="1"/>
  <c r="F91" i="1"/>
  <c r="G91" i="1" s="1"/>
  <c r="E91" i="1"/>
  <c r="H91" i="1" s="1"/>
  <c r="G99" i="1"/>
  <c r="G94" i="1"/>
  <c r="G93" i="1"/>
  <c r="G89" i="1"/>
  <c r="G83" i="1"/>
  <c r="H83" i="1"/>
  <c r="E87" i="1"/>
  <c r="G86" i="1" s="1"/>
  <c r="F250" i="7" s="1"/>
  <c r="F87" i="1"/>
  <c r="G87" i="1" s="1"/>
  <c r="F251" i="7" s="1"/>
  <c r="E53" i="1"/>
  <c r="E19" i="6"/>
  <c r="D19" i="6"/>
  <c r="E18" i="6"/>
  <c r="D18" i="6"/>
  <c r="E17" i="6"/>
  <c r="D17" i="6"/>
  <c r="E16" i="6"/>
  <c r="D16" i="6"/>
  <c r="E11" i="1"/>
  <c r="E12" i="1"/>
  <c r="G133" i="7" s="1"/>
  <c r="F13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E33" i="1"/>
  <c r="E27" i="1"/>
  <c r="E26" i="1"/>
  <c r="E25" i="1"/>
  <c r="E21" i="1"/>
  <c r="F263" i="7" l="1"/>
  <c r="D222" i="7"/>
  <c r="D220" i="7"/>
  <c r="D221" i="7"/>
  <c r="D219" i="7"/>
  <c r="G195" i="7"/>
  <c r="G212" i="7"/>
  <c r="F195" i="7"/>
  <c r="F212" i="7"/>
  <c r="H101" i="1"/>
  <c r="F252" i="7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F25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D205" i="7"/>
  <c r="D203" i="7"/>
  <c r="D204" i="7"/>
  <c r="D202" i="7"/>
  <c r="D169" i="7"/>
  <c r="D186" i="7"/>
  <c r="D171" i="7"/>
  <c r="D154" i="7"/>
  <c r="D152" i="7"/>
  <c r="D188" i="7"/>
  <c r="D170" i="7"/>
  <c r="D153" i="7"/>
  <c r="D151" i="7"/>
  <c r="D187" i="7"/>
  <c r="D185" i="7"/>
  <c r="D168" i="7"/>
  <c r="G161" i="7"/>
  <c r="G178" i="7"/>
  <c r="F144" i="7"/>
  <c r="F178" i="7"/>
  <c r="F161" i="7"/>
  <c r="G144" i="7"/>
  <c r="H133" i="7"/>
  <c r="G132" i="7"/>
  <c r="F132" i="7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G101" i="1"/>
  <c r="I101" i="1" s="1"/>
  <c r="I91" i="1"/>
  <c r="F21" i="1"/>
  <c r="F23" i="1" s="1"/>
  <c r="G215" i="7" s="1"/>
  <c r="F11" i="1"/>
  <c r="F12" i="1"/>
  <c r="G13" i="1"/>
  <c r="K19" i="1"/>
  <c r="L198" i="7" s="1"/>
  <c r="L19" i="1"/>
  <c r="M198" i="7" s="1"/>
  <c r="G19" i="1"/>
  <c r="H198" i="7" s="1"/>
  <c r="N19" i="1"/>
  <c r="O198" i="7" s="1"/>
  <c r="O19" i="1"/>
  <c r="P198" i="7" s="1"/>
  <c r="I19" i="1"/>
  <c r="J198" i="7" s="1"/>
  <c r="J19" i="1"/>
  <c r="K198" i="7" s="1"/>
  <c r="M19" i="1"/>
  <c r="N198" i="7" s="1"/>
  <c r="H19" i="1"/>
  <c r="I198" i="7" s="1"/>
  <c r="F19" i="1"/>
  <c r="G198" i="7" s="1"/>
  <c r="P19" i="1"/>
  <c r="Q198" i="7" s="1"/>
  <c r="Q19" i="1"/>
  <c r="F199" i="7" s="1"/>
  <c r="E28" i="1"/>
  <c r="E23" i="1"/>
  <c r="E19" i="1"/>
  <c r="F215" i="7" l="1"/>
  <c r="F198" i="7"/>
  <c r="G221" i="7"/>
  <c r="G219" i="7"/>
  <c r="F219" i="7"/>
  <c r="F221" i="7"/>
  <c r="H195" i="7"/>
  <c r="H212" i="7"/>
  <c r="G194" i="7"/>
  <c r="G211" i="7"/>
  <c r="F194" i="7"/>
  <c r="F211" i="7"/>
  <c r="G25" i="1"/>
  <c r="F28" i="1"/>
  <c r="F30" i="1" s="1"/>
  <c r="G204" i="7"/>
  <c r="G202" i="7"/>
  <c r="E65" i="1"/>
  <c r="H178" i="7"/>
  <c r="H161" i="7"/>
  <c r="G143" i="7"/>
  <c r="G177" i="7"/>
  <c r="G160" i="7"/>
  <c r="F143" i="7"/>
  <c r="F160" i="7"/>
  <c r="F177" i="7"/>
  <c r="H132" i="7"/>
  <c r="H144" i="7"/>
  <c r="I133" i="7"/>
  <c r="G21" i="1"/>
  <c r="G23" i="1" s="1"/>
  <c r="H215" i="7" s="1"/>
  <c r="G12" i="1"/>
  <c r="G11" i="1"/>
  <c r="H13" i="1"/>
  <c r="R19" i="1"/>
  <c r="G199" i="7" s="1"/>
  <c r="E30" i="1"/>
  <c r="F32" i="1"/>
  <c r="G147" i="7" s="1"/>
  <c r="E32" i="1"/>
  <c r="F147" i="7" l="1"/>
  <c r="H221" i="7"/>
  <c r="H219" i="7"/>
  <c r="H194" i="7"/>
  <c r="H211" i="7"/>
  <c r="I195" i="7"/>
  <c r="I212" i="7"/>
  <c r="H25" i="1"/>
  <c r="G28" i="1"/>
  <c r="G30" i="1" s="1"/>
  <c r="H21" i="1"/>
  <c r="H23" i="1" s="1"/>
  <c r="F204" i="7"/>
  <c r="F202" i="7"/>
  <c r="G32" i="1"/>
  <c r="H143" i="7"/>
  <c r="H177" i="7"/>
  <c r="H160" i="7"/>
  <c r="I178" i="7"/>
  <c r="I161" i="7"/>
  <c r="G153" i="7"/>
  <c r="G151" i="7"/>
  <c r="F153" i="7"/>
  <c r="F151" i="7"/>
  <c r="I132" i="7"/>
  <c r="I144" i="7"/>
  <c r="J133" i="7"/>
  <c r="H12" i="1"/>
  <c r="H11" i="1"/>
  <c r="I13" i="1"/>
  <c r="E38" i="1"/>
  <c r="E69" i="1" s="1"/>
  <c r="S19" i="1"/>
  <c r="E64" i="1"/>
  <c r="E72" i="1"/>
  <c r="F38" i="1"/>
  <c r="F35" i="1"/>
  <c r="F36" i="1"/>
  <c r="E35" i="1"/>
  <c r="E36" i="1"/>
  <c r="I215" i="7" l="1"/>
  <c r="H199" i="7"/>
  <c r="F164" i="7"/>
  <c r="I194" i="7"/>
  <c r="I211" i="7"/>
  <c r="J195" i="7"/>
  <c r="J212" i="7"/>
  <c r="H28" i="1"/>
  <c r="H30" i="1" s="1"/>
  <c r="I25" i="1"/>
  <c r="I21" i="1"/>
  <c r="I23" i="1" s="1"/>
  <c r="J215" i="7" s="1"/>
  <c r="H147" i="7"/>
  <c r="G38" i="1"/>
  <c r="G36" i="1"/>
  <c r="G35" i="1"/>
  <c r="H204" i="7"/>
  <c r="H202" i="7"/>
  <c r="H32" i="1"/>
  <c r="I143" i="7"/>
  <c r="I177" i="7"/>
  <c r="I160" i="7"/>
  <c r="J161" i="7"/>
  <c r="J178" i="7"/>
  <c r="F37" i="1"/>
  <c r="G181" i="7" s="1"/>
  <c r="G164" i="7"/>
  <c r="J132" i="7"/>
  <c r="J144" i="7"/>
  <c r="K133" i="7"/>
  <c r="I12" i="1"/>
  <c r="I11" i="1"/>
  <c r="J13" i="1"/>
  <c r="T19" i="1"/>
  <c r="I199" i="7" s="1"/>
  <c r="E37" i="1"/>
  <c r="F181" i="7" s="1"/>
  <c r="E68" i="1"/>
  <c r="F168" i="7" l="1"/>
  <c r="F170" i="7"/>
  <c r="I221" i="7"/>
  <c r="I219" i="7"/>
  <c r="J219" i="7"/>
  <c r="J221" i="7"/>
  <c r="J194" i="7"/>
  <c r="J211" i="7"/>
  <c r="K195" i="7"/>
  <c r="K212" i="7"/>
  <c r="J25" i="1"/>
  <c r="I28" i="1"/>
  <c r="I30" i="1" s="1"/>
  <c r="H36" i="1"/>
  <c r="J21" i="1"/>
  <c r="J23" i="1" s="1"/>
  <c r="G37" i="1"/>
  <c r="H181" i="7" s="1"/>
  <c r="H164" i="7"/>
  <c r="H151" i="7"/>
  <c r="H153" i="7"/>
  <c r="I147" i="7"/>
  <c r="H38" i="1"/>
  <c r="H35" i="1"/>
  <c r="I204" i="7"/>
  <c r="I202" i="7"/>
  <c r="I32" i="1"/>
  <c r="G185" i="7"/>
  <c r="G187" i="7"/>
  <c r="F185" i="7"/>
  <c r="F187" i="7"/>
  <c r="J143" i="7"/>
  <c r="J160" i="7"/>
  <c r="J177" i="7"/>
  <c r="K178" i="7"/>
  <c r="K161" i="7"/>
  <c r="G170" i="7"/>
  <c r="G168" i="7"/>
  <c r="K132" i="7"/>
  <c r="K144" i="7"/>
  <c r="L133" i="7"/>
  <c r="J12" i="1"/>
  <c r="J11" i="1"/>
  <c r="K13" i="1"/>
  <c r="U19" i="1"/>
  <c r="K215" i="7" l="1"/>
  <c r="J199" i="7"/>
  <c r="K21" i="1"/>
  <c r="K23" i="1" s="1"/>
  <c r="L215" i="7" s="1"/>
  <c r="K194" i="7"/>
  <c r="K211" i="7"/>
  <c r="L195" i="7"/>
  <c r="L212" i="7"/>
  <c r="J28" i="1"/>
  <c r="J30" i="1" s="1"/>
  <c r="K25" i="1"/>
  <c r="H37" i="1"/>
  <c r="I181" i="7" s="1"/>
  <c r="I164" i="7"/>
  <c r="H185" i="7"/>
  <c r="H187" i="7"/>
  <c r="H168" i="7"/>
  <c r="H170" i="7"/>
  <c r="I151" i="7"/>
  <c r="I153" i="7"/>
  <c r="J147" i="7"/>
  <c r="I36" i="1"/>
  <c r="I38" i="1"/>
  <c r="I35" i="1"/>
  <c r="J204" i="7"/>
  <c r="J202" i="7"/>
  <c r="J32" i="1"/>
  <c r="K143" i="7"/>
  <c r="K177" i="7"/>
  <c r="K160" i="7"/>
  <c r="L161" i="7"/>
  <c r="L178" i="7"/>
  <c r="L132" i="7"/>
  <c r="L144" i="7"/>
  <c r="M133" i="7"/>
  <c r="K12" i="1"/>
  <c r="K11" i="1"/>
  <c r="L13" i="1"/>
  <c r="V19" i="1"/>
  <c r="K199" i="7" s="1"/>
  <c r="K221" i="7" l="1"/>
  <c r="K219" i="7"/>
  <c r="L21" i="1"/>
  <c r="L23" i="1" s="1"/>
  <c r="L221" i="7"/>
  <c r="L219" i="7"/>
  <c r="L194" i="7"/>
  <c r="L211" i="7"/>
  <c r="M195" i="7"/>
  <c r="M212" i="7"/>
  <c r="I185" i="7"/>
  <c r="I187" i="7"/>
  <c r="K28" i="1"/>
  <c r="K30" i="1" s="1"/>
  <c r="L25" i="1"/>
  <c r="I168" i="7"/>
  <c r="I170" i="7"/>
  <c r="J151" i="7"/>
  <c r="J153" i="7"/>
  <c r="I37" i="1"/>
  <c r="J181" i="7" s="1"/>
  <c r="J164" i="7"/>
  <c r="K147" i="7"/>
  <c r="J38" i="1"/>
  <c r="J35" i="1"/>
  <c r="J36" i="1"/>
  <c r="K204" i="7"/>
  <c r="K202" i="7"/>
  <c r="K32" i="1"/>
  <c r="L143" i="7"/>
  <c r="L177" i="7"/>
  <c r="L160" i="7"/>
  <c r="M161" i="7"/>
  <c r="M178" i="7"/>
  <c r="M144" i="7"/>
  <c r="M132" i="7"/>
  <c r="N133" i="7"/>
  <c r="L12" i="1"/>
  <c r="L11" i="1"/>
  <c r="M13" i="1"/>
  <c r="W19" i="1"/>
  <c r="M215" i="7" l="1"/>
  <c r="L199" i="7"/>
  <c r="M21" i="1"/>
  <c r="M23" i="1" s="1"/>
  <c r="N215" i="7" s="1"/>
  <c r="M25" i="1"/>
  <c r="L28" i="1"/>
  <c r="L30" i="1" s="1"/>
  <c r="M194" i="7"/>
  <c r="M211" i="7"/>
  <c r="N195" i="7"/>
  <c r="N212" i="7"/>
  <c r="J185" i="7"/>
  <c r="J187" i="7"/>
  <c r="J170" i="7"/>
  <c r="J168" i="7"/>
  <c r="K151" i="7"/>
  <c r="K153" i="7"/>
  <c r="J37" i="1"/>
  <c r="K181" i="7" s="1"/>
  <c r="K164" i="7"/>
  <c r="L147" i="7"/>
  <c r="K36" i="1"/>
  <c r="K35" i="1"/>
  <c r="K38" i="1"/>
  <c r="L204" i="7"/>
  <c r="L202" i="7"/>
  <c r="L32" i="1"/>
  <c r="M143" i="7"/>
  <c r="M160" i="7"/>
  <c r="M177" i="7"/>
  <c r="N178" i="7"/>
  <c r="N161" i="7"/>
  <c r="N132" i="7"/>
  <c r="N144" i="7"/>
  <c r="O133" i="7"/>
  <c r="M12" i="1"/>
  <c r="M11" i="1"/>
  <c r="N13" i="1"/>
  <c r="X19" i="1"/>
  <c r="M199" i="7" s="1"/>
  <c r="M219" i="7" l="1"/>
  <c r="M221" i="7"/>
  <c r="N21" i="1"/>
  <c r="N23" i="1" s="1"/>
  <c r="O215" i="7" s="1"/>
  <c r="M28" i="1"/>
  <c r="M30" i="1" s="1"/>
  <c r="N25" i="1"/>
  <c r="N219" i="7"/>
  <c r="N221" i="7"/>
  <c r="N194" i="7"/>
  <c r="N211" i="7"/>
  <c r="O195" i="7"/>
  <c r="O212" i="7"/>
  <c r="K187" i="7"/>
  <c r="K185" i="7"/>
  <c r="K170" i="7"/>
  <c r="K168" i="7"/>
  <c r="L151" i="7"/>
  <c r="L153" i="7"/>
  <c r="K37" i="1"/>
  <c r="L181" i="7" s="1"/>
  <c r="L164" i="7"/>
  <c r="M147" i="7"/>
  <c r="L35" i="1"/>
  <c r="L36" i="1"/>
  <c r="L38" i="1"/>
  <c r="M204" i="7"/>
  <c r="M202" i="7"/>
  <c r="M32" i="1"/>
  <c r="N143" i="7"/>
  <c r="N177" i="7"/>
  <c r="N160" i="7"/>
  <c r="O161" i="7"/>
  <c r="O178" i="7"/>
  <c r="O144" i="7"/>
  <c r="O132" i="7"/>
  <c r="P133" i="7"/>
  <c r="N12" i="1"/>
  <c r="N11" i="1"/>
  <c r="O13" i="1"/>
  <c r="Y19" i="1"/>
  <c r="N199" i="7" s="1"/>
  <c r="O21" i="1" l="1"/>
  <c r="O23" i="1" s="1"/>
  <c r="P215" i="7" s="1"/>
  <c r="N28" i="1"/>
  <c r="N30" i="1" s="1"/>
  <c r="O25" i="1"/>
  <c r="O219" i="7"/>
  <c r="O221" i="7"/>
  <c r="O194" i="7"/>
  <c r="O211" i="7"/>
  <c r="P195" i="7"/>
  <c r="P212" i="7"/>
  <c r="L37" i="1"/>
  <c r="M181" i="7" s="1"/>
  <c r="M164" i="7"/>
  <c r="N147" i="7"/>
  <c r="M35" i="1"/>
  <c r="M36" i="1"/>
  <c r="M38" i="1"/>
  <c r="M151" i="7"/>
  <c r="M153" i="7"/>
  <c r="L187" i="7"/>
  <c r="L185" i="7"/>
  <c r="L168" i="7"/>
  <c r="L170" i="7"/>
  <c r="N204" i="7"/>
  <c r="N202" i="7"/>
  <c r="N32" i="1"/>
  <c r="O143" i="7"/>
  <c r="O160" i="7"/>
  <c r="O177" i="7"/>
  <c r="P161" i="7"/>
  <c r="P178" i="7"/>
  <c r="P144" i="7"/>
  <c r="P132" i="7"/>
  <c r="Q133" i="7"/>
  <c r="O12" i="1"/>
  <c r="O11" i="1"/>
  <c r="P13" i="1"/>
  <c r="Z19" i="1"/>
  <c r="O199" i="7" s="1"/>
  <c r="P21" i="1" l="1"/>
  <c r="P23" i="1" s="1"/>
  <c r="Q215" i="7" s="1"/>
  <c r="P25" i="1"/>
  <c r="O28" i="1"/>
  <c r="O30" i="1" s="1"/>
  <c r="P219" i="7"/>
  <c r="P221" i="7"/>
  <c r="P194" i="7"/>
  <c r="P211" i="7"/>
  <c r="Q195" i="7"/>
  <c r="Q212" i="7"/>
  <c r="M187" i="7"/>
  <c r="M185" i="7"/>
  <c r="M168" i="7"/>
  <c r="M170" i="7"/>
  <c r="M37" i="1"/>
  <c r="N181" i="7" s="1"/>
  <c r="N164" i="7"/>
  <c r="N153" i="7"/>
  <c r="N151" i="7"/>
  <c r="O147" i="7"/>
  <c r="N36" i="1"/>
  <c r="N35" i="1"/>
  <c r="N38" i="1"/>
  <c r="O204" i="7"/>
  <c r="O202" i="7"/>
  <c r="O32" i="1"/>
  <c r="P143" i="7"/>
  <c r="P177" i="7"/>
  <c r="P160" i="7"/>
  <c r="Q178" i="7"/>
  <c r="Q161" i="7"/>
  <c r="Q132" i="7"/>
  <c r="Q144" i="7"/>
  <c r="P12" i="1"/>
  <c r="P11" i="1"/>
  <c r="Q13" i="1"/>
  <c r="Q21" i="1" s="1"/>
  <c r="AB19" i="1"/>
  <c r="AA19" i="1"/>
  <c r="P199" i="7" s="1"/>
  <c r="Q199" i="7" l="1"/>
  <c r="P14" i="5"/>
  <c r="P28" i="1"/>
  <c r="P30" i="1" s="1"/>
  <c r="Q25" i="1"/>
  <c r="Q219" i="7"/>
  <c r="Q221" i="7"/>
  <c r="Q194" i="7"/>
  <c r="Q211" i="7"/>
  <c r="N185" i="7"/>
  <c r="N187" i="7"/>
  <c r="N168" i="7"/>
  <c r="N170" i="7"/>
  <c r="O151" i="7"/>
  <c r="O153" i="7"/>
  <c r="N37" i="1"/>
  <c r="O181" i="7" s="1"/>
  <c r="O164" i="7"/>
  <c r="P147" i="7"/>
  <c r="O36" i="1"/>
  <c r="O35" i="1"/>
  <c r="O38" i="1"/>
  <c r="P204" i="7"/>
  <c r="P202" i="7"/>
  <c r="P32" i="1"/>
  <c r="Q143" i="7"/>
  <c r="Q160" i="7"/>
  <c r="Q177" i="7"/>
  <c r="Q23" i="1"/>
  <c r="F216" i="7" s="1"/>
  <c r="Q12" i="1"/>
  <c r="Q11" i="1"/>
  <c r="R13" i="1"/>
  <c r="R21" i="1" s="1"/>
  <c r="Q28" i="1" l="1"/>
  <c r="Q30" i="1" s="1"/>
  <c r="R25" i="1"/>
  <c r="F220" i="7"/>
  <c r="F222" i="7"/>
  <c r="O168" i="7"/>
  <c r="O170" i="7"/>
  <c r="P151" i="7"/>
  <c r="P153" i="7"/>
  <c r="O187" i="7"/>
  <c r="O185" i="7"/>
  <c r="O37" i="1"/>
  <c r="P181" i="7" s="1"/>
  <c r="P164" i="7"/>
  <c r="Q147" i="7"/>
  <c r="P36" i="1"/>
  <c r="P35" i="1"/>
  <c r="P38" i="1"/>
  <c r="Q204" i="7"/>
  <c r="Q202" i="7"/>
  <c r="Q32" i="1"/>
  <c r="R23" i="1"/>
  <c r="G216" i="7" s="1"/>
  <c r="F53" i="1"/>
  <c r="R12" i="1"/>
  <c r="R11" i="1"/>
  <c r="S13" i="1"/>
  <c r="S21" i="1" s="1"/>
  <c r="S25" i="1" l="1"/>
  <c r="R28" i="1"/>
  <c r="R30" i="1" s="1"/>
  <c r="G222" i="7"/>
  <c r="G220" i="7"/>
  <c r="P170" i="7"/>
  <c r="P168" i="7"/>
  <c r="P185" i="7"/>
  <c r="P187" i="7"/>
  <c r="Q164" i="7"/>
  <c r="P37" i="1"/>
  <c r="Q181" i="7" s="1"/>
  <c r="F148" i="7"/>
  <c r="Q35" i="1"/>
  <c r="Q36" i="1"/>
  <c r="Q38" i="1"/>
  <c r="Q151" i="7"/>
  <c r="Q153" i="7"/>
  <c r="F205" i="7"/>
  <c r="F203" i="7"/>
  <c r="R32" i="1"/>
  <c r="S23" i="1"/>
  <c r="H216" i="7" s="1"/>
  <c r="S12" i="1"/>
  <c r="S11" i="1"/>
  <c r="T13" i="1"/>
  <c r="T21" i="1" s="1"/>
  <c r="S28" i="1" l="1"/>
  <c r="S30" i="1" s="1"/>
  <c r="T25" i="1"/>
  <c r="H222" i="7"/>
  <c r="H220" i="7"/>
  <c r="Q37" i="1"/>
  <c r="F182" i="7" s="1"/>
  <c r="F165" i="7"/>
  <c r="Q170" i="7"/>
  <c r="Q168" i="7"/>
  <c r="Q185" i="7"/>
  <c r="Q187" i="7"/>
  <c r="F152" i="7"/>
  <c r="F154" i="7"/>
  <c r="G148" i="7"/>
  <c r="R35" i="1"/>
  <c r="R38" i="1"/>
  <c r="R36" i="1"/>
  <c r="G205" i="7"/>
  <c r="G203" i="7"/>
  <c r="S32" i="1"/>
  <c r="T23" i="1"/>
  <c r="I216" i="7" s="1"/>
  <c r="T12" i="1"/>
  <c r="T11" i="1"/>
  <c r="U13" i="1"/>
  <c r="U21" i="1" s="1"/>
  <c r="V28" i="1"/>
  <c r="V30" i="1" s="1"/>
  <c r="U25" i="1" l="1"/>
  <c r="T28" i="1"/>
  <c r="T30" i="1" s="1"/>
  <c r="S38" i="1"/>
  <c r="I222" i="7"/>
  <c r="I220" i="7"/>
  <c r="F186" i="7"/>
  <c r="F188" i="7"/>
  <c r="F169" i="7"/>
  <c r="F171" i="7"/>
  <c r="H148" i="7"/>
  <c r="S36" i="1"/>
  <c r="S35" i="1"/>
  <c r="R37" i="1"/>
  <c r="G182" i="7" s="1"/>
  <c r="G165" i="7"/>
  <c r="G152" i="7"/>
  <c r="G154" i="7"/>
  <c r="H205" i="7"/>
  <c r="H203" i="7"/>
  <c r="T32" i="1"/>
  <c r="U23" i="1"/>
  <c r="J216" i="7" s="1"/>
  <c r="U12" i="1"/>
  <c r="U11" i="1"/>
  <c r="V13" i="1"/>
  <c r="V21" i="1" s="1"/>
  <c r="W28" i="1"/>
  <c r="W30" i="1" s="1"/>
  <c r="U28" i="1" l="1"/>
  <c r="U30" i="1" s="1"/>
  <c r="V25" i="1"/>
  <c r="W25" i="1" s="1"/>
  <c r="X25" i="1" s="1"/>
  <c r="Y25" i="1" s="1"/>
  <c r="Z25" i="1" s="1"/>
  <c r="AA25" i="1" s="1"/>
  <c r="AB25" i="1" s="1"/>
  <c r="T35" i="1"/>
  <c r="J220" i="7"/>
  <c r="J222" i="7"/>
  <c r="H152" i="7"/>
  <c r="H154" i="7"/>
  <c r="S37" i="1"/>
  <c r="H182" i="7" s="1"/>
  <c r="H165" i="7"/>
  <c r="G188" i="7"/>
  <c r="G186" i="7"/>
  <c r="G169" i="7"/>
  <c r="G171" i="7"/>
  <c r="I148" i="7"/>
  <c r="T36" i="1"/>
  <c r="T38" i="1"/>
  <c r="I205" i="7"/>
  <c r="I203" i="7"/>
  <c r="U32" i="1"/>
  <c r="V23" i="1"/>
  <c r="K216" i="7" s="1"/>
  <c r="V12" i="1"/>
  <c r="V11" i="1"/>
  <c r="W13" i="1"/>
  <c r="W21" i="1" s="1"/>
  <c r="X28" i="1"/>
  <c r="X30" i="1" s="1"/>
  <c r="K222" i="7" l="1"/>
  <c r="K220" i="7"/>
  <c r="H186" i="7"/>
  <c r="H188" i="7"/>
  <c r="H169" i="7"/>
  <c r="H171" i="7"/>
  <c r="T37" i="1"/>
  <c r="I182" i="7" s="1"/>
  <c r="I165" i="7"/>
  <c r="U35" i="1"/>
  <c r="U38" i="1"/>
  <c r="I154" i="7"/>
  <c r="I152" i="7"/>
  <c r="J148" i="7"/>
  <c r="U36" i="1"/>
  <c r="J205" i="7"/>
  <c r="J203" i="7"/>
  <c r="V32" i="1"/>
  <c r="W23" i="1"/>
  <c r="L216" i="7" s="1"/>
  <c r="W12" i="1"/>
  <c r="W11" i="1"/>
  <c r="X13" i="1"/>
  <c r="X21" i="1" s="1"/>
  <c r="Y28" i="1"/>
  <c r="Y30" i="1" s="1"/>
  <c r="L220" i="7" l="1"/>
  <c r="L222" i="7"/>
  <c r="I171" i="7"/>
  <c r="I169" i="7"/>
  <c r="I188" i="7"/>
  <c r="I186" i="7"/>
  <c r="J165" i="7"/>
  <c r="U37" i="1"/>
  <c r="J182" i="7" s="1"/>
  <c r="J154" i="7"/>
  <c r="J152" i="7"/>
  <c r="K148" i="7"/>
  <c r="V36" i="1"/>
  <c r="V38" i="1"/>
  <c r="V35" i="1"/>
  <c r="K205" i="7"/>
  <c r="K203" i="7"/>
  <c r="W32" i="1"/>
  <c r="X23" i="1"/>
  <c r="M216" i="7" s="1"/>
  <c r="X12" i="1"/>
  <c r="X11" i="1"/>
  <c r="Y13" i="1"/>
  <c r="Y21" i="1" s="1"/>
  <c r="Z28" i="1"/>
  <c r="Z30" i="1" s="1"/>
  <c r="M222" i="7" l="1"/>
  <c r="M220" i="7"/>
  <c r="J169" i="7"/>
  <c r="J171" i="7"/>
  <c r="J186" i="7"/>
  <c r="J188" i="7"/>
  <c r="V37" i="1"/>
  <c r="K182" i="7" s="1"/>
  <c r="K165" i="7"/>
  <c r="L148" i="7"/>
  <c r="W35" i="1"/>
  <c r="W36" i="1"/>
  <c r="W38" i="1"/>
  <c r="K154" i="7"/>
  <c r="K152" i="7"/>
  <c r="L203" i="7"/>
  <c r="L205" i="7"/>
  <c r="X32" i="1"/>
  <c r="Y23" i="1"/>
  <c r="N216" i="7" s="1"/>
  <c r="Y12" i="1"/>
  <c r="Y11" i="1"/>
  <c r="Z13" i="1"/>
  <c r="Z21" i="1" s="1"/>
  <c r="AB28" i="1"/>
  <c r="AB30" i="1" s="1"/>
  <c r="AA28" i="1"/>
  <c r="AA30" i="1" s="1"/>
  <c r="N222" i="7" l="1"/>
  <c r="N220" i="7"/>
  <c r="K188" i="7"/>
  <c r="K186" i="7"/>
  <c r="K169" i="7"/>
  <c r="K171" i="7"/>
  <c r="L154" i="7"/>
  <c r="L152" i="7"/>
  <c r="M148" i="7"/>
  <c r="X36" i="1"/>
  <c r="X35" i="1"/>
  <c r="X38" i="1"/>
  <c r="L165" i="7"/>
  <c r="W37" i="1"/>
  <c r="L182" i="7" s="1"/>
  <c r="M205" i="7"/>
  <c r="M203" i="7"/>
  <c r="Y32" i="1"/>
  <c r="Z23" i="1"/>
  <c r="O216" i="7" s="1"/>
  <c r="Z12" i="1"/>
  <c r="Z11" i="1"/>
  <c r="AA13" i="1"/>
  <c r="AA21" i="1" s="1"/>
  <c r="O222" i="7" l="1"/>
  <c r="O220" i="7"/>
  <c r="M154" i="7"/>
  <c r="M152" i="7"/>
  <c r="X37" i="1"/>
  <c r="M182" i="7" s="1"/>
  <c r="M165" i="7"/>
  <c r="L169" i="7"/>
  <c r="L171" i="7"/>
  <c r="L188" i="7"/>
  <c r="L186" i="7"/>
  <c r="N148" i="7"/>
  <c r="Y35" i="1"/>
  <c r="Y36" i="1"/>
  <c r="Y38" i="1"/>
  <c r="N203" i="7"/>
  <c r="N205" i="7"/>
  <c r="Z32" i="1"/>
  <c r="AA23" i="1"/>
  <c r="P216" i="7" s="1"/>
  <c r="AA12" i="1"/>
  <c r="AA11" i="1"/>
  <c r="AB13" i="1"/>
  <c r="AB21" i="1" s="1"/>
  <c r="AB23" i="1" s="1"/>
  <c r="Q216" i="7" l="1"/>
  <c r="P220" i="7"/>
  <c r="P222" i="7"/>
  <c r="M186" i="7"/>
  <c r="M188" i="7"/>
  <c r="M171" i="7"/>
  <c r="M169" i="7"/>
  <c r="N165" i="7"/>
  <c r="Y37" i="1"/>
  <c r="N182" i="7" s="1"/>
  <c r="N154" i="7"/>
  <c r="N152" i="7"/>
  <c r="O148" i="7"/>
  <c r="Z35" i="1"/>
  <c r="Z36" i="1"/>
  <c r="Z38" i="1"/>
  <c r="O203" i="7"/>
  <c r="O205" i="7"/>
  <c r="AA32" i="1"/>
  <c r="AA36" i="1" s="1"/>
  <c r="Q205" i="7"/>
  <c r="Q203" i="7"/>
  <c r="AB32" i="1"/>
  <c r="S14" i="5" s="1"/>
  <c r="F65" i="1"/>
  <c r="G65" i="1" s="1"/>
  <c r="AB12" i="1"/>
  <c r="AB11" i="1"/>
  <c r="Q222" i="7" l="1"/>
  <c r="Q220" i="7"/>
  <c r="Q148" i="7"/>
  <c r="C14" i="5"/>
  <c r="M14" i="5"/>
  <c r="N169" i="7"/>
  <c r="N171" i="7"/>
  <c r="N186" i="7"/>
  <c r="N188" i="7"/>
  <c r="Z37" i="1"/>
  <c r="O182" i="7" s="1"/>
  <c r="O165" i="7"/>
  <c r="O152" i="7"/>
  <c r="O154" i="7"/>
  <c r="P148" i="7"/>
  <c r="AA35" i="1"/>
  <c r="AA38" i="1"/>
  <c r="P203" i="7"/>
  <c r="P205" i="7"/>
  <c r="AA37" i="1"/>
  <c r="P182" i="7" s="1"/>
  <c r="P165" i="7"/>
  <c r="AB35" i="1"/>
  <c r="AB36" i="1"/>
  <c r="AB38" i="1"/>
  <c r="F69" i="1" s="1"/>
  <c r="G69" i="1" s="1"/>
  <c r="F72" i="1"/>
  <c r="F64" i="1"/>
  <c r="G64" i="1" s="1"/>
  <c r="Q152" i="7" l="1"/>
  <c r="Q154" i="7"/>
  <c r="Q165" i="7"/>
  <c r="E14" i="5"/>
  <c r="H14" i="5" s="1"/>
  <c r="G72" i="1"/>
  <c r="H72" i="1"/>
  <c r="H69" i="1"/>
  <c r="O186" i="7"/>
  <c r="O188" i="7"/>
  <c r="O169" i="7"/>
  <c r="O171" i="7"/>
  <c r="P152" i="7"/>
  <c r="P154" i="7"/>
  <c r="P186" i="7"/>
  <c r="P188" i="7"/>
  <c r="P169" i="7"/>
  <c r="P171" i="7"/>
  <c r="F68" i="1"/>
  <c r="G68" i="1" s="1"/>
  <c r="AB37" i="1"/>
  <c r="Q182" i="7" s="1"/>
  <c r="Q169" i="7" l="1"/>
  <c r="Q171" i="7"/>
  <c r="H68" i="1"/>
  <c r="Q188" i="7"/>
  <c r="Q18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tc={1FC3E520-AA6D-400E-91A7-D74C3CBF9B71}</author>
  </authors>
  <commentList>
    <comment ref="B28" authorId="0" shapeId="0" xr:uid="{1FC3E520-AA6D-400E-91A7-D74C3CBF9B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Scenario shock periods are fixed within the forecast model; dates shown are for reference only </t>
      </text>
    </comment>
  </commentList>
</comments>
</file>

<file path=xl/sharedStrings.xml><?xml version="1.0" encoding="utf-8"?>
<sst xmlns="http://schemas.openxmlformats.org/spreadsheetml/2006/main" count="231" uniqueCount="139">
  <si>
    <t>Base ASP (£)</t>
  </si>
  <si>
    <t>Raw Material per Unit</t>
  </si>
  <si>
    <t>Labour Per Unit</t>
  </si>
  <si>
    <t>Other Variable per Unit</t>
  </si>
  <si>
    <t>Fixed Cost (Monthly)</t>
  </si>
  <si>
    <t>Base Units</t>
  </si>
  <si>
    <t>Volume Adjustment %</t>
  </si>
  <si>
    <t>Actual Units</t>
  </si>
  <si>
    <t>Base</t>
  </si>
  <si>
    <t>Base ASP</t>
  </si>
  <si>
    <t>ASP Adj%</t>
  </si>
  <si>
    <t>Actual ASP</t>
  </si>
  <si>
    <t>Raw Material / Unit</t>
  </si>
  <si>
    <t>Labour / Unit</t>
  </si>
  <si>
    <t>Other var / Unit</t>
  </si>
  <si>
    <t>Total var/unit</t>
  </si>
  <si>
    <t>Total Variable Cost</t>
  </si>
  <si>
    <t>Revenue</t>
  </si>
  <si>
    <t>Fixed Cost</t>
  </si>
  <si>
    <t>Operating Profit</t>
  </si>
  <si>
    <t>Operating Margin %</t>
  </si>
  <si>
    <t>Assumptions</t>
  </si>
  <si>
    <t>Raw Material</t>
  </si>
  <si>
    <t>Labour</t>
  </si>
  <si>
    <t>Other Variable</t>
  </si>
  <si>
    <t>Assumed Inflation Index</t>
  </si>
  <si>
    <t>Annually</t>
  </si>
  <si>
    <t>Monthly</t>
  </si>
  <si>
    <t>Base Monthly Manufactured Units</t>
  </si>
  <si>
    <t>ASP Annual Growth</t>
  </si>
  <si>
    <t>Quarterly</t>
  </si>
  <si>
    <t>KPI Dashboard</t>
  </si>
  <si>
    <t>Month 24</t>
  </si>
  <si>
    <t>Month 1</t>
  </si>
  <si>
    <t>Change</t>
  </si>
  <si>
    <t>Growth</t>
  </si>
  <si>
    <t>Profitability</t>
  </si>
  <si>
    <t>Efficiency</t>
  </si>
  <si>
    <t>Fixed Cost as a % of revenue</t>
  </si>
  <si>
    <t>Contribution Margin %</t>
  </si>
  <si>
    <t>Change (bps)</t>
  </si>
  <si>
    <t>Severe Scenario (Year 2)</t>
  </si>
  <si>
    <t>Variance</t>
  </si>
  <si>
    <t>% Change</t>
  </si>
  <si>
    <t>Volume Effect</t>
  </si>
  <si>
    <t>Price Effect</t>
  </si>
  <si>
    <t>CM Per unit</t>
  </si>
  <si>
    <t>Total Revenue</t>
  </si>
  <si>
    <t>Total variable Cost</t>
  </si>
  <si>
    <t>Base Scenario (Year 2)</t>
  </si>
  <si>
    <t>Moderate</t>
  </si>
  <si>
    <t>Severe</t>
  </si>
  <si>
    <t>Actuals (☑️)/ Forecast</t>
  </si>
  <si>
    <t>Currency</t>
  </si>
  <si>
    <t>GBP (£)</t>
  </si>
  <si>
    <t>Selected Scenarios</t>
  </si>
  <si>
    <t>Affected Months:</t>
  </si>
  <si>
    <t xml:space="preserve"> Months 6-15</t>
  </si>
  <si>
    <t>Months 7-12</t>
  </si>
  <si>
    <t>Unchanged</t>
  </si>
  <si>
    <t>24 Month Forecast</t>
  </si>
  <si>
    <t>Contribution Metric</t>
  </si>
  <si>
    <t>Total Units sold</t>
  </si>
  <si>
    <t>Scenario Variance Analysis</t>
  </si>
  <si>
    <t>Base scenario (24M)</t>
  </si>
  <si>
    <t>Severe Scenario (24M)</t>
  </si>
  <si>
    <t>Revenue Variance Breakdown:</t>
  </si>
  <si>
    <t>Variable Cost Effect</t>
  </si>
  <si>
    <t>Fixed Cost Effect</t>
  </si>
  <si>
    <t>Base Scenario (24M)</t>
  </si>
  <si>
    <t>Operating Profit Variance Breakdown:</t>
  </si>
  <si>
    <t>-</t>
  </si>
  <si>
    <t>Fixed Cost Inflation</t>
  </si>
  <si>
    <t xml:space="preserve"> </t>
  </si>
  <si>
    <t>Graphing Data : Revenue</t>
  </si>
  <si>
    <t>Actual/Forecast</t>
  </si>
  <si>
    <t>Graphing Data : Timing</t>
  </si>
  <si>
    <t>Type</t>
  </si>
  <si>
    <t>Labels</t>
  </si>
  <si>
    <t>Actuals</t>
  </si>
  <si>
    <t>Forecast</t>
  </si>
  <si>
    <t>By Month</t>
  </si>
  <si>
    <t>Dashboard: Revenue</t>
  </si>
  <si>
    <t>Figures in GBP millions</t>
  </si>
  <si>
    <t>Dashboard: Operating Profit Trend</t>
  </si>
  <si>
    <t>Graphing Data : Operating profit</t>
  </si>
  <si>
    <t>Graphing Data : Operating Margin</t>
  </si>
  <si>
    <t>Dashboard: Operating Margin</t>
  </si>
  <si>
    <t>Dashboard: Units Sold</t>
  </si>
  <si>
    <t>Graphing Data : Units Sold</t>
  </si>
  <si>
    <t>Number of Units</t>
  </si>
  <si>
    <t>Figures in %</t>
  </si>
  <si>
    <t>Dashboard: ASP Trend</t>
  </si>
  <si>
    <t>Figures in GBP</t>
  </si>
  <si>
    <t>Scenario</t>
  </si>
  <si>
    <t>2026 Revenue</t>
  </si>
  <si>
    <t>2027 Revenue</t>
  </si>
  <si>
    <t>Dashboard: Revenue By Scenario</t>
  </si>
  <si>
    <t>Graphing Data : Revenue By Scenario</t>
  </si>
  <si>
    <t>By Scenario</t>
  </si>
  <si>
    <t>Graphing Data : Operating Profit By Scenario</t>
  </si>
  <si>
    <t>Dashboard: Operating Profit by Scenario</t>
  </si>
  <si>
    <t>2026 Operating Profit</t>
  </si>
  <si>
    <t>2027 Operating Profit</t>
  </si>
  <si>
    <t>Dashboard: Revenue Variance Bridge</t>
  </si>
  <si>
    <t>Base Revenue</t>
  </si>
  <si>
    <t>Severe Revenue</t>
  </si>
  <si>
    <t>Dashboard: Operating Profit Variance Bridge</t>
  </si>
  <si>
    <t>Base Operating Profit</t>
  </si>
  <si>
    <t>Severe Operating Profit</t>
  </si>
  <si>
    <t>Operating Margin</t>
  </si>
  <si>
    <t>Units Sold</t>
  </si>
  <si>
    <t>Volume Shock</t>
  </si>
  <si>
    <t>ASP Shock</t>
  </si>
  <si>
    <t>Shock Start Month</t>
  </si>
  <si>
    <t>Shock End Month</t>
  </si>
  <si>
    <t>Volume Recovery/ Month</t>
  </si>
  <si>
    <t>ASP Recovery/ Month</t>
  </si>
  <si>
    <t>Scenario &amp; Recovery Assumptions</t>
  </si>
  <si>
    <t>Revenue Growth</t>
  </si>
  <si>
    <t>ASP Growth</t>
  </si>
  <si>
    <t>Graphing Data : ASP trend</t>
  </si>
  <si>
    <t>ASP per Unit</t>
  </si>
  <si>
    <t>Contribution Profit</t>
  </si>
  <si>
    <t>APEX Automotives FP&amp;A Forecast Dashboard</t>
  </si>
  <si>
    <t>24 Month Actuals &amp; Forecast | Jan-26 to Dec-27</t>
  </si>
  <si>
    <t>KPI</t>
  </si>
  <si>
    <t>Revenue (£bn)</t>
  </si>
  <si>
    <t>Operating Profit (£bn)</t>
  </si>
  <si>
    <t>Operating Margin (%)</t>
  </si>
  <si>
    <t>Contribution margin (%)</t>
  </si>
  <si>
    <t>Average Selling Price (£)</t>
  </si>
  <si>
    <t>Selected Scenario:</t>
  </si>
  <si>
    <t>Performance Trends</t>
  </si>
  <si>
    <t>Revenue Trend</t>
  </si>
  <si>
    <t>Operating Profit Trend</t>
  </si>
  <si>
    <t>Scenario &amp; Performance Analysis</t>
  </si>
  <si>
    <t>Revenue By Scenario</t>
  </si>
  <si>
    <t>Contribution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</si>
</sst>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_ ;[Red]\-0.00\ "/>
    <numFmt numFmtId="165" formatCode="#,##0.00_ ;[Red]\-#,##0.00\ "/>
    <numFmt numFmtId="166" formatCode="#,##0;[Red]\(#,##0\)"/>
    <numFmt numFmtId="167" formatCode="#,##0.00;[Red]\(#,##0.00\)"/>
    <numFmt numFmtId="168" formatCode="[=1]&quot;☑️&quot;_);[=0]&quot;&quot;_)"/>
    <numFmt numFmtId="169" formatCode=";;;"/>
    <numFmt numFmtId="170" formatCode="mmm"/>
    <numFmt numFmtId="171" formatCode="\Q###"/>
    <numFmt numFmtId="172" formatCode="#,##0_ ;[Red]\-#,##0\ "/>
    <numFmt numFmtId="173" formatCode="#,##0.0;[Red]\(#,##0.0\)"/>
    <numFmt numFmtId="174" formatCode="0%;[Red]\(0%\);\-"/>
    <numFmt numFmtId="175" formatCode="[$£-452]#,##0.00;[Red]\-[$£-452]#,##0.00"/>
    <numFmt numFmtId="176" formatCode="\£#,##0.00;[Red]\(\£#,##0.00\);\-"/>
    <numFmt numFmtId="177" formatCode="\Q#"/>
    <numFmt numFmtId="178" formatCode="\+0%;[Red]\(0%\);\-"/>
    <numFmt numFmtId="179" formatCode="\+0.0%;[Red]\(0.0%\);\-"/>
    <numFmt numFmtId="180" formatCode="0.0%"/>
    <numFmt numFmtId="187" formatCode="0.0,,,&quot;bn&quot;;[Red]\(0.0,,,&quot;bn&quot;\);\-"/>
    <numFmt numFmtId="188" formatCode="0.0%;[Red]\(0.0%\);\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Open sans"/>
    </font>
    <font>
      <sz val="10"/>
      <color theme="3" tint="9.9978637043366805E-2"/>
      <name val="Open sans"/>
    </font>
    <font>
      <sz val="10"/>
      <color theme="1"/>
      <name val="Open sans"/>
    </font>
    <font>
      <b/>
      <sz val="10"/>
      <color theme="3" tint="9.9978637043366805E-2"/>
      <name val="Open sans"/>
    </font>
    <font>
      <b/>
      <sz val="10"/>
      <name val="Open sans"/>
    </font>
    <font>
      <b/>
      <sz val="16"/>
      <color theme="3" tint="9.9978637043366805E-2"/>
      <name val="Open sans"/>
    </font>
    <font>
      <b/>
      <sz val="14"/>
      <color theme="3" tint="9.9978637043366805E-2"/>
      <name val="Open sans"/>
    </font>
    <font>
      <b/>
      <i/>
      <sz val="10"/>
      <color theme="1"/>
      <name val="Open sans"/>
    </font>
    <font>
      <b/>
      <sz val="11"/>
      <color theme="1"/>
      <name val="Open sans"/>
    </font>
    <font>
      <sz val="11"/>
      <color theme="1"/>
      <name val="Open sans"/>
    </font>
    <font>
      <sz val="11"/>
      <color theme="1"/>
      <name val="Palatino Linotype"/>
      <family val="1"/>
    </font>
    <font>
      <b/>
      <sz val="12"/>
      <color theme="1"/>
      <name val="Open sans"/>
    </font>
    <font>
      <sz val="12"/>
      <color theme="1"/>
      <name val="Open sans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b/>
      <sz val="12"/>
      <color theme="3" tint="9.9978637043366805E-2"/>
      <name val="Open sans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Open sans"/>
    </font>
    <font>
      <b/>
      <i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6"/>
      <name val="Open sans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ck">
        <color auto="1"/>
      </bottom>
      <diagonal/>
    </border>
    <border>
      <left/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theme="3" tint="0.249977111117893"/>
      </right>
      <top/>
      <bottom/>
      <diagonal/>
    </border>
    <border>
      <left/>
      <right/>
      <top style="thin">
        <color theme="3" tint="0.249977111117893"/>
      </top>
      <bottom/>
      <diagonal/>
    </border>
    <border>
      <left/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/>
      <top/>
      <bottom/>
      <diagonal/>
    </border>
    <border>
      <left style="thin">
        <color theme="3" tint="0.249977111117893"/>
      </left>
      <right/>
      <top style="thin">
        <color theme="3" tint="0.249977111117893"/>
      </top>
      <bottom/>
      <diagonal/>
    </border>
    <border>
      <left/>
      <right style="hair">
        <color theme="3" tint="0.249977111117893"/>
      </right>
      <top style="thin">
        <color theme="3" tint="0.249977111117893"/>
      </top>
      <bottom/>
      <diagonal/>
    </border>
    <border>
      <left/>
      <right style="hair">
        <color theme="3" tint="0.249977111117893"/>
      </right>
      <top/>
      <bottom/>
      <diagonal/>
    </border>
    <border>
      <left/>
      <right/>
      <top/>
      <bottom style="medium">
        <color theme="3" tint="0.24994659260841701"/>
      </bottom>
      <diagonal/>
    </border>
    <border>
      <left/>
      <right style="hair">
        <color theme="3" tint="0.249977111117893"/>
      </right>
      <top/>
      <bottom style="medium">
        <color theme="3" tint="0.24994659260841701"/>
      </bottom>
      <diagonal/>
    </border>
    <border>
      <left/>
      <right style="thin">
        <color theme="3" tint="0.249977111117893"/>
      </right>
      <top/>
      <bottom style="medium">
        <color theme="3" tint="0.24994659260841701"/>
      </bottom>
      <diagonal/>
    </border>
    <border>
      <left style="thin">
        <color theme="3" tint="0.249977111117893"/>
      </left>
      <right/>
      <top/>
      <bottom style="medium">
        <color theme="3" tint="0.24994659260841701"/>
      </bottom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/>
      <right/>
      <top style="thin">
        <color theme="3" tint="0.499984740745262"/>
      </top>
      <bottom/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/>
      <top/>
      <bottom style="medium">
        <color theme="3" tint="0.499984740745262"/>
      </bottom>
      <diagonal/>
    </border>
    <border>
      <left/>
      <right/>
      <top/>
      <bottom style="medium">
        <color theme="3" tint="0.499984740745262"/>
      </bottom>
      <diagonal/>
    </border>
    <border>
      <left/>
      <right style="thin">
        <color theme="3" tint="0.499984740745262"/>
      </right>
      <top/>
      <bottom style="medium">
        <color theme="3" tint="0.499984740745262"/>
      </bottom>
      <diagonal/>
    </border>
    <border>
      <left/>
      <right style="hair">
        <color theme="3" tint="0.499984740745262"/>
      </right>
      <top style="thin">
        <color theme="3" tint="0.499984740745262"/>
      </top>
      <bottom/>
      <diagonal/>
    </border>
    <border>
      <left/>
      <right style="hair">
        <color theme="3" tint="0.499984740745262"/>
      </right>
      <top/>
      <bottom style="medium">
        <color theme="3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medium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medium">
        <color theme="3" tint="0.499984740745262"/>
      </bottom>
      <diagonal/>
    </border>
    <border>
      <left/>
      <right/>
      <top style="thin">
        <color theme="3" tint="0.499984740745262"/>
      </top>
      <bottom style="medium">
        <color theme="3" tint="0.499984740745262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/>
      <diagonal/>
    </border>
    <border>
      <left/>
      <right/>
      <top style="medium">
        <color theme="3" tint="0.24994659260841701"/>
      </top>
      <bottom/>
      <diagonal/>
    </border>
    <border>
      <left/>
      <right style="medium">
        <color theme="3" tint="0.24994659260841701"/>
      </right>
      <top style="medium">
        <color theme="3" tint="0.24994659260841701"/>
      </top>
      <bottom/>
      <diagonal/>
    </border>
    <border>
      <left style="medium">
        <color theme="3" tint="0.24994659260841701"/>
      </left>
      <right/>
      <top/>
      <bottom/>
      <diagonal/>
    </border>
    <border>
      <left/>
      <right style="medium">
        <color theme="3" tint="0.24994659260841701"/>
      </right>
      <top/>
      <bottom/>
      <diagonal/>
    </border>
    <border>
      <left style="medium">
        <color theme="3" tint="0.24994659260841701"/>
      </left>
      <right/>
      <top/>
      <bottom style="medium">
        <color theme="3" tint="0.24994659260841701"/>
      </bottom>
      <diagonal/>
    </border>
    <border>
      <left/>
      <right style="medium">
        <color theme="3" tint="0.24994659260841701"/>
      </right>
      <top/>
      <bottom style="medium">
        <color theme="3" tint="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0" fillId="2" borderId="0" xfId="0" applyFill="1"/>
    <xf numFmtId="169" fontId="3" fillId="2" borderId="0" xfId="0" applyNumberFormat="1" applyFont="1" applyFill="1"/>
    <xf numFmtId="168" fontId="4" fillId="2" borderId="0" xfId="0" applyNumberFormat="1" applyFont="1" applyFill="1"/>
    <xf numFmtId="164" fontId="3" fillId="2" borderId="0" xfId="0" applyNumberFormat="1" applyFont="1" applyFill="1"/>
    <xf numFmtId="164" fontId="5" fillId="2" borderId="0" xfId="0" applyNumberFormat="1" applyFont="1" applyFill="1"/>
    <xf numFmtId="164" fontId="6" fillId="2" borderId="2" xfId="0" applyNumberFormat="1" applyFont="1" applyFill="1" applyBorder="1"/>
    <xf numFmtId="164" fontId="4" fillId="2" borderId="0" xfId="0" applyNumberFormat="1" applyFont="1" applyFill="1"/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2" borderId="0" xfId="0" applyNumberFormat="1" applyFont="1" applyFill="1"/>
    <xf numFmtId="164" fontId="5" fillId="2" borderId="0" xfId="1" applyNumberFormat="1" applyFont="1" applyFill="1"/>
    <xf numFmtId="10" fontId="5" fillId="2" borderId="0" xfId="1" applyNumberFormat="1" applyFont="1" applyFill="1"/>
    <xf numFmtId="9" fontId="5" fillId="2" borderId="3" xfId="1" applyFont="1" applyFill="1" applyBorder="1"/>
    <xf numFmtId="166" fontId="5" fillId="2" borderId="0" xfId="0" applyNumberFormat="1" applyFont="1" applyFill="1"/>
    <xf numFmtId="166" fontId="5" fillId="2" borderId="0" xfId="1" applyNumberFormat="1" applyFont="1" applyFill="1"/>
    <xf numFmtId="165" fontId="5" fillId="2" borderId="0" xfId="1" applyNumberFormat="1" applyFont="1" applyFill="1"/>
    <xf numFmtId="9" fontId="3" fillId="2" borderId="0" xfId="1" applyFont="1" applyFill="1" applyBorder="1"/>
    <xf numFmtId="164" fontId="5" fillId="2" borderId="0" xfId="0" applyNumberFormat="1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65" fontId="5" fillId="2" borderId="6" xfId="0" applyNumberFormat="1" applyFont="1" applyFill="1" applyBorder="1"/>
    <xf numFmtId="165" fontId="5" fillId="2" borderId="7" xfId="0" applyNumberFormat="1" applyFont="1" applyFill="1" applyBorder="1"/>
    <xf numFmtId="165" fontId="5" fillId="2" borderId="8" xfId="0" applyNumberFormat="1" applyFont="1" applyFill="1" applyBorder="1"/>
    <xf numFmtId="165" fontId="5" fillId="2" borderId="10" xfId="0" applyNumberFormat="1" applyFont="1" applyFill="1" applyBorder="1"/>
    <xf numFmtId="165" fontId="5" fillId="2" borderId="11" xfId="0" applyNumberFormat="1" applyFont="1" applyFill="1" applyBorder="1"/>
    <xf numFmtId="165" fontId="5" fillId="2" borderId="12" xfId="0" applyNumberFormat="1" applyFont="1" applyFill="1" applyBorder="1"/>
    <xf numFmtId="9" fontId="5" fillId="2" borderId="13" xfId="1" applyFont="1" applyFill="1" applyBorder="1"/>
    <xf numFmtId="9" fontId="5" fillId="2" borderId="14" xfId="1" applyFont="1" applyFill="1" applyBorder="1"/>
    <xf numFmtId="165" fontId="5" fillId="2" borderId="17" xfId="0" applyNumberFormat="1" applyFont="1" applyFill="1" applyBorder="1"/>
    <xf numFmtId="165" fontId="5" fillId="2" borderId="5" xfId="0" applyNumberFormat="1" applyFont="1" applyFill="1" applyBorder="1"/>
    <xf numFmtId="9" fontId="5" fillId="2" borderId="17" xfId="1" applyFont="1" applyFill="1" applyBorder="1"/>
    <xf numFmtId="9" fontId="5" fillId="2" borderId="0" xfId="1" applyFont="1" applyFill="1" applyBorder="1"/>
    <xf numFmtId="9" fontId="5" fillId="2" borderId="5" xfId="1" applyFont="1" applyFill="1" applyBorder="1"/>
    <xf numFmtId="9" fontId="5" fillId="2" borderId="18" xfId="1" applyFont="1" applyFill="1" applyBorder="1"/>
    <xf numFmtId="9" fontId="5" fillId="2" borderId="19" xfId="1" applyFont="1" applyFill="1" applyBorder="1"/>
    <xf numFmtId="9" fontId="5" fillId="2" borderId="20" xfId="1" applyFont="1" applyFill="1" applyBorder="1"/>
    <xf numFmtId="9" fontId="5" fillId="2" borderId="6" xfId="1" applyFont="1" applyFill="1" applyBorder="1"/>
    <xf numFmtId="9" fontId="5" fillId="2" borderId="7" xfId="1" applyFont="1" applyFill="1" applyBorder="1"/>
    <xf numFmtId="165" fontId="5" fillId="2" borderId="9" xfId="0" applyNumberFormat="1" applyFont="1" applyFill="1" applyBorder="1"/>
    <xf numFmtId="165" fontId="5" fillId="2" borderId="18" xfId="0" applyNumberFormat="1" applyFont="1" applyFill="1" applyBorder="1"/>
    <xf numFmtId="165" fontId="5" fillId="2" borderId="19" xfId="0" applyNumberFormat="1" applyFont="1" applyFill="1" applyBorder="1"/>
    <xf numFmtId="165" fontId="5" fillId="2" borderId="20" xfId="0" applyNumberFormat="1" applyFont="1" applyFill="1" applyBorder="1"/>
    <xf numFmtId="165" fontId="3" fillId="2" borderId="15" xfId="0" applyNumberFormat="1" applyFont="1" applyFill="1" applyBorder="1"/>
    <xf numFmtId="165" fontId="3" fillId="2" borderId="4" xfId="0" applyNumberFormat="1" applyFont="1" applyFill="1" applyBorder="1"/>
    <xf numFmtId="165" fontId="3" fillId="2" borderId="16" xfId="0" applyNumberFormat="1" applyFont="1" applyFill="1" applyBorder="1"/>
    <xf numFmtId="164" fontId="3" fillId="2" borderId="11" xfId="0" applyNumberFormat="1" applyFont="1" applyFill="1" applyBorder="1"/>
    <xf numFmtId="164" fontId="5" fillId="2" borderId="11" xfId="0" applyNumberFormat="1" applyFont="1" applyFill="1" applyBorder="1"/>
    <xf numFmtId="9" fontId="5" fillId="2" borderId="11" xfId="1" applyFont="1" applyFill="1" applyBorder="1"/>
    <xf numFmtId="164" fontId="8" fillId="3" borderId="0" xfId="0" applyNumberFormat="1" applyFont="1" applyFill="1"/>
    <xf numFmtId="164" fontId="5" fillId="3" borderId="0" xfId="0" applyNumberFormat="1" applyFont="1" applyFill="1"/>
    <xf numFmtId="169" fontId="3" fillId="2" borderId="22" xfId="0" applyNumberFormat="1" applyFont="1" applyFill="1" applyBorder="1"/>
    <xf numFmtId="164" fontId="9" fillId="3" borderId="0" xfId="0" applyNumberFormat="1" applyFont="1" applyFill="1" applyAlignment="1">
      <alignment horizontal="left" vertical="center"/>
    </xf>
    <xf numFmtId="9" fontId="5" fillId="3" borderId="0" xfId="1" applyFont="1" applyFill="1" applyBorder="1"/>
    <xf numFmtId="165" fontId="5" fillId="2" borderId="11" xfId="1" applyNumberFormat="1" applyFont="1" applyFill="1" applyBorder="1"/>
    <xf numFmtId="166" fontId="5" fillId="2" borderId="11" xfId="0" applyNumberFormat="1" applyFont="1" applyFill="1" applyBorder="1"/>
    <xf numFmtId="165" fontId="5" fillId="2" borderId="0" xfId="1" applyNumberFormat="1" applyFont="1" applyFill="1" applyBorder="1"/>
    <xf numFmtId="164" fontId="9" fillId="2" borderId="0" xfId="0" applyNumberFormat="1" applyFont="1" applyFill="1" applyAlignment="1">
      <alignment horizontal="center" vertical="center"/>
    </xf>
    <xf numFmtId="165" fontId="5" fillId="3" borderId="0" xfId="0" applyNumberFormat="1" applyFont="1" applyFill="1"/>
    <xf numFmtId="166" fontId="5" fillId="3" borderId="0" xfId="0" applyNumberFormat="1" applyFont="1" applyFill="1"/>
    <xf numFmtId="169" fontId="3" fillId="2" borderId="26" xfId="0" applyNumberFormat="1" applyFont="1" applyFill="1" applyBorder="1"/>
    <xf numFmtId="169" fontId="3" fillId="2" borderId="25" xfId="0" applyNumberFormat="1" applyFont="1" applyFill="1" applyBorder="1"/>
    <xf numFmtId="0" fontId="3" fillId="2" borderId="23" xfId="0" applyFont="1" applyFill="1" applyBorder="1"/>
    <xf numFmtId="171" fontId="3" fillId="2" borderId="21" xfId="0" applyNumberFormat="1" applyFont="1" applyFill="1" applyBorder="1"/>
    <xf numFmtId="171" fontId="3" fillId="2" borderId="27" xfId="0" applyNumberFormat="1" applyFont="1" applyFill="1" applyBorder="1"/>
    <xf numFmtId="169" fontId="7" fillId="2" borderId="0" xfId="0" applyNumberFormat="1" applyFont="1" applyFill="1" applyAlignment="1">
      <alignment horizontal="center"/>
    </xf>
    <xf numFmtId="170" fontId="3" fillId="2" borderId="28" xfId="0" applyNumberFormat="1" applyFont="1" applyFill="1" applyBorder="1"/>
    <xf numFmtId="170" fontId="3" fillId="2" borderId="29" xfId="0" applyNumberFormat="1" applyFont="1" applyFill="1" applyBorder="1"/>
    <xf numFmtId="170" fontId="3" fillId="2" borderId="30" xfId="0" applyNumberFormat="1" applyFont="1" applyFill="1" applyBorder="1"/>
    <xf numFmtId="169" fontId="3" fillId="2" borderId="24" xfId="0" applyNumberFormat="1" applyFont="1" applyFill="1" applyBorder="1"/>
    <xf numFmtId="170" fontId="3" fillId="2" borderId="31" xfId="0" applyNumberFormat="1" applyFont="1" applyFill="1" applyBorder="1"/>
    <xf numFmtId="164" fontId="5" fillId="2" borderId="5" xfId="0" applyNumberFormat="1" applyFont="1" applyFill="1" applyBorder="1"/>
    <xf numFmtId="164" fontId="8" fillId="2" borderId="0" xfId="0" applyNumberFormat="1" applyFont="1" applyFill="1"/>
    <xf numFmtId="164" fontId="8" fillId="2" borderId="19" xfId="0" applyNumberFormat="1" applyFont="1" applyFill="1" applyBorder="1"/>
    <xf numFmtId="164" fontId="5" fillId="2" borderId="19" xfId="0" applyNumberFormat="1" applyFont="1" applyFill="1" applyBorder="1"/>
    <xf numFmtId="164" fontId="6" fillId="2" borderId="0" xfId="0" applyNumberFormat="1" applyFont="1" applyFill="1"/>
    <xf numFmtId="0" fontId="0" fillId="2" borderId="19" xfId="0" applyFill="1" applyBorder="1"/>
    <xf numFmtId="164" fontId="3" fillId="2" borderId="19" xfId="0" applyNumberFormat="1" applyFont="1" applyFill="1" applyBorder="1"/>
    <xf numFmtId="165" fontId="6" fillId="2" borderId="0" xfId="0" applyNumberFormat="1" applyFont="1" applyFill="1" applyAlignment="1">
      <alignment horizontal="center" vertical="center"/>
    </xf>
    <xf numFmtId="166" fontId="5" fillId="2" borderId="8" xfId="0" applyNumberFormat="1" applyFont="1" applyFill="1" applyBorder="1"/>
    <xf numFmtId="165" fontId="6" fillId="2" borderId="0" xfId="0" applyNumberFormat="1" applyFont="1" applyFill="1"/>
    <xf numFmtId="166" fontId="6" fillId="2" borderId="0" xfId="0" applyNumberFormat="1" applyFont="1" applyFill="1" applyAlignment="1">
      <alignment horizontal="right"/>
    </xf>
    <xf numFmtId="9" fontId="5" fillId="2" borderId="10" xfId="1" applyFont="1" applyFill="1" applyBorder="1"/>
    <xf numFmtId="164" fontId="6" fillId="2" borderId="0" xfId="0" applyNumberFormat="1" applyFont="1" applyFill="1" applyAlignment="1">
      <alignment horizontal="center" vertical="center"/>
    </xf>
    <xf numFmtId="164" fontId="3" fillId="2" borderId="0" xfId="1" applyNumberFormat="1" applyFont="1" applyFill="1" applyBorder="1"/>
    <xf numFmtId="166" fontId="3" fillId="2" borderId="11" xfId="0" applyNumberFormat="1" applyFont="1" applyFill="1" applyBorder="1"/>
    <xf numFmtId="166" fontId="3" fillId="2" borderId="8" xfId="0" applyNumberFormat="1" applyFont="1" applyFill="1" applyBorder="1"/>
    <xf numFmtId="2" fontId="5" fillId="2" borderId="0" xfId="1" applyNumberFormat="1" applyFont="1" applyFill="1" applyBorder="1"/>
    <xf numFmtId="1" fontId="5" fillId="2" borderId="0" xfId="1" applyNumberFormat="1" applyFont="1" applyFill="1" applyBorder="1"/>
    <xf numFmtId="10" fontId="5" fillId="2" borderId="0" xfId="0" applyNumberFormat="1" applyFont="1" applyFill="1"/>
    <xf numFmtId="10" fontId="6" fillId="2" borderId="0" xfId="0" applyNumberFormat="1" applyFont="1" applyFill="1" applyAlignment="1">
      <alignment horizontal="right"/>
    </xf>
    <xf numFmtId="172" fontId="5" fillId="2" borderId="0" xfId="0" applyNumberFormat="1" applyFont="1" applyFill="1"/>
    <xf numFmtId="166" fontId="3" fillId="2" borderId="0" xfId="0" applyNumberFormat="1" applyFont="1" applyFill="1"/>
    <xf numFmtId="167" fontId="3" fillId="2" borderId="0" xfId="0" applyNumberFormat="1" applyFont="1" applyFill="1"/>
    <xf numFmtId="165" fontId="3" fillId="2" borderId="0" xfId="0" applyNumberFormat="1" applyFont="1" applyFill="1"/>
    <xf numFmtId="166" fontId="6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left" indent="1"/>
    </xf>
    <xf numFmtId="164" fontId="5" fillId="2" borderId="0" xfId="1" applyNumberFormat="1" applyFont="1" applyFill="1" applyBorder="1" applyAlignment="1">
      <alignment horizontal="left" indent="1"/>
    </xf>
    <xf numFmtId="4" fontId="5" fillId="2" borderId="17" xfId="0" applyNumberFormat="1" applyFont="1" applyFill="1" applyBorder="1"/>
    <xf numFmtId="4" fontId="5" fillId="2" borderId="0" xfId="0" applyNumberFormat="1" applyFont="1" applyFill="1"/>
    <xf numFmtId="167" fontId="5" fillId="2" borderId="0" xfId="0" applyNumberFormat="1" applyFont="1" applyFill="1"/>
    <xf numFmtId="167" fontId="5" fillId="2" borderId="7" xfId="0" applyNumberFormat="1" applyFont="1" applyFill="1" applyBorder="1"/>
    <xf numFmtId="167" fontId="5" fillId="2" borderId="11" xfId="0" applyNumberFormat="1" applyFont="1" applyFill="1" applyBorder="1"/>
    <xf numFmtId="166" fontId="3" fillId="2" borderId="12" xfId="0" applyNumberFormat="1" applyFont="1" applyFill="1" applyBorder="1"/>
    <xf numFmtId="166" fontId="3" fillId="2" borderId="20" xfId="0" applyNumberFormat="1" applyFont="1" applyFill="1" applyBorder="1"/>
    <xf numFmtId="173" fontId="5" fillId="2" borderId="7" xfId="0" applyNumberFormat="1" applyFont="1" applyFill="1" applyBorder="1"/>
    <xf numFmtId="174" fontId="5" fillId="2" borderId="11" xfId="1" applyNumberFormat="1" applyFont="1" applyFill="1" applyBorder="1"/>
    <xf numFmtId="174" fontId="5" fillId="2" borderId="7" xfId="1" applyNumberFormat="1" applyFont="1" applyFill="1" applyBorder="1"/>
    <xf numFmtId="174" fontId="5" fillId="2" borderId="0" xfId="0" applyNumberFormat="1" applyFont="1" applyFill="1"/>
    <xf numFmtId="174" fontId="5" fillId="2" borderId="0" xfId="1" applyNumberFormat="1" applyFont="1" applyFill="1" applyBorder="1"/>
    <xf numFmtId="174" fontId="5" fillId="2" borderId="19" xfId="1" applyNumberFormat="1" applyFont="1" applyFill="1" applyBorder="1"/>
    <xf numFmtId="174" fontId="5" fillId="2" borderId="7" xfId="0" applyNumberFormat="1" applyFont="1" applyFill="1" applyBorder="1"/>
    <xf numFmtId="175" fontId="5" fillId="2" borderId="10" xfId="0" applyNumberFormat="1" applyFont="1" applyFill="1" applyBorder="1"/>
    <xf numFmtId="175" fontId="5" fillId="2" borderId="11" xfId="0" applyNumberFormat="1" applyFont="1" applyFill="1" applyBorder="1"/>
    <xf numFmtId="176" fontId="5" fillId="2" borderId="11" xfId="0" applyNumberFormat="1" applyFont="1" applyFill="1" applyBorder="1"/>
    <xf numFmtId="176" fontId="5" fillId="2" borderId="0" xfId="0" applyNumberFormat="1" applyFont="1" applyFill="1"/>
    <xf numFmtId="176" fontId="5" fillId="2" borderId="19" xfId="0" applyNumberFormat="1" applyFont="1" applyFill="1" applyBorder="1"/>
    <xf numFmtId="176" fontId="5" fillId="2" borderId="7" xfId="0" applyNumberFormat="1" applyFont="1" applyFill="1" applyBorder="1"/>
    <xf numFmtId="176" fontId="5" fillId="2" borderId="10" xfId="0" applyNumberFormat="1" applyFont="1" applyFill="1" applyBorder="1"/>
    <xf numFmtId="176" fontId="5" fillId="2" borderId="17" xfId="0" applyNumberFormat="1" applyFont="1" applyFill="1" applyBorder="1"/>
    <xf numFmtId="176" fontId="5" fillId="2" borderId="6" xfId="0" applyNumberFormat="1" applyFont="1" applyFill="1" applyBorder="1"/>
    <xf numFmtId="176" fontId="5" fillId="2" borderId="18" xfId="0" applyNumberFormat="1" applyFont="1" applyFill="1" applyBorder="1"/>
    <xf numFmtId="174" fontId="5" fillId="2" borderId="0" xfId="1" applyNumberFormat="1" applyFont="1" applyFill="1" applyBorder="1" applyAlignment="1">
      <alignment horizontal="right"/>
    </xf>
    <xf numFmtId="9" fontId="5" fillId="2" borderId="0" xfId="1" applyFont="1" applyFill="1" applyBorder="1" applyAlignment="1">
      <alignment horizontal="right"/>
    </xf>
    <xf numFmtId="166" fontId="3" fillId="2" borderId="12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8" xfId="0" applyNumberFormat="1" applyFont="1" applyFill="1" applyBorder="1" applyAlignment="1">
      <alignment horizontal="right"/>
    </xf>
    <xf numFmtId="166" fontId="3" fillId="2" borderId="20" xfId="0" applyNumberFormat="1" applyFont="1" applyFill="1" applyBorder="1" applyAlignment="1">
      <alignment horizontal="right"/>
    </xf>
    <xf numFmtId="9" fontId="5" fillId="2" borderId="19" xfId="1" applyFont="1" applyFill="1" applyBorder="1" applyAlignment="1">
      <alignment horizontal="right"/>
    </xf>
    <xf numFmtId="166" fontId="5" fillId="2" borderId="12" xfId="0" applyNumberFormat="1" applyFont="1" applyFill="1" applyBorder="1" applyAlignment="1">
      <alignment horizontal="right"/>
    </xf>
    <xf numFmtId="166" fontId="5" fillId="2" borderId="20" xfId="0" applyNumberFormat="1" applyFont="1" applyFill="1" applyBorder="1" applyAlignment="1">
      <alignment horizontal="right"/>
    </xf>
    <xf numFmtId="176" fontId="5" fillId="2" borderId="12" xfId="0" applyNumberFormat="1" applyFont="1" applyFill="1" applyBorder="1"/>
    <xf numFmtId="176" fontId="5" fillId="2" borderId="5" xfId="0" applyNumberFormat="1" applyFont="1" applyFill="1" applyBorder="1"/>
    <xf numFmtId="176" fontId="5" fillId="2" borderId="8" xfId="0" applyNumberFormat="1" applyFont="1" applyFill="1" applyBorder="1"/>
    <xf numFmtId="164" fontId="10" fillId="2" borderId="0" xfId="0" applyNumberFormat="1" applyFont="1" applyFill="1"/>
    <xf numFmtId="0" fontId="0" fillId="3" borderId="0" xfId="0" applyFill="1"/>
    <xf numFmtId="169" fontId="3" fillId="2" borderId="32" xfId="0" applyNumberFormat="1" applyFont="1" applyFill="1" applyBorder="1"/>
    <xf numFmtId="169" fontId="3" fillId="2" borderId="33" xfId="0" applyNumberFormat="1" applyFont="1" applyFill="1" applyBorder="1"/>
    <xf numFmtId="177" fontId="3" fillId="2" borderId="34" xfId="0" applyNumberFormat="1" applyFont="1" applyFill="1" applyBorder="1"/>
    <xf numFmtId="177" fontId="3" fillId="2" borderId="38" xfId="0" applyNumberFormat="1" applyFont="1" applyFill="1" applyBorder="1"/>
    <xf numFmtId="164" fontId="5" fillId="2" borderId="21" xfId="0" applyNumberFormat="1" applyFont="1" applyFill="1" applyBorder="1"/>
    <xf numFmtId="168" fontId="4" fillId="2" borderId="10" xfId="0" applyNumberFormat="1" applyFont="1" applyFill="1" applyBorder="1"/>
    <xf numFmtId="168" fontId="4" fillId="2" borderId="11" xfId="0" applyNumberFormat="1" applyFont="1" applyFill="1" applyBorder="1"/>
    <xf numFmtId="168" fontId="4" fillId="2" borderId="12" xfId="0" applyNumberFormat="1" applyFont="1" applyFill="1" applyBorder="1"/>
    <xf numFmtId="168" fontId="4" fillId="2" borderId="18" xfId="0" applyNumberFormat="1" applyFont="1" applyFill="1" applyBorder="1"/>
    <xf numFmtId="168" fontId="4" fillId="2" borderId="19" xfId="0" applyNumberFormat="1" applyFont="1" applyFill="1" applyBorder="1"/>
    <xf numFmtId="168" fontId="4" fillId="2" borderId="20" xfId="0" applyNumberFormat="1" applyFont="1" applyFill="1" applyBorder="1"/>
    <xf numFmtId="0" fontId="11" fillId="2" borderId="0" xfId="0" applyFont="1" applyFill="1"/>
    <xf numFmtId="0" fontId="12" fillId="2" borderId="0" xfId="0" applyFont="1" applyFill="1"/>
    <xf numFmtId="0" fontId="12" fillId="3" borderId="0" xfId="0" applyFont="1" applyFill="1"/>
    <xf numFmtId="170" fontId="11" fillId="2" borderId="35" xfId="0" applyNumberFormat="1" applyFont="1" applyFill="1" applyBorder="1"/>
    <xf numFmtId="170" fontId="11" fillId="2" borderId="36" xfId="0" applyNumberFormat="1" applyFont="1" applyFill="1" applyBorder="1"/>
    <xf numFmtId="170" fontId="11" fillId="2" borderId="39" xfId="0" applyNumberFormat="1" applyFont="1" applyFill="1" applyBorder="1"/>
    <xf numFmtId="170" fontId="11" fillId="2" borderId="37" xfId="0" applyNumberFormat="1" applyFont="1" applyFill="1" applyBorder="1"/>
    <xf numFmtId="0" fontId="12" fillId="2" borderId="0" xfId="0" applyFont="1" applyFill="1" applyAlignment="1">
      <alignment horizontal="left" indent="1"/>
    </xf>
    <xf numFmtId="0" fontId="12" fillId="2" borderId="19" xfId="0" applyFont="1" applyFill="1" applyBorder="1"/>
    <xf numFmtId="3" fontId="12" fillId="2" borderId="10" xfId="0" applyNumberFormat="1" applyFont="1" applyFill="1" applyBorder="1"/>
    <xf numFmtId="3" fontId="12" fillId="2" borderId="11" xfId="0" applyNumberFormat="1" applyFont="1" applyFill="1" applyBorder="1"/>
    <xf numFmtId="3" fontId="12" fillId="2" borderId="12" xfId="0" applyNumberFormat="1" applyFont="1" applyFill="1" applyBorder="1"/>
    <xf numFmtId="3" fontId="12" fillId="2" borderId="18" xfId="0" applyNumberFormat="1" applyFont="1" applyFill="1" applyBorder="1"/>
    <xf numFmtId="3" fontId="12" fillId="2" borderId="19" xfId="0" applyNumberFormat="1" applyFont="1" applyFill="1" applyBorder="1"/>
    <xf numFmtId="3" fontId="12" fillId="2" borderId="20" xfId="0" applyNumberFormat="1" applyFont="1" applyFill="1" applyBorder="1"/>
    <xf numFmtId="0" fontId="12" fillId="2" borderId="10" xfId="0" applyFont="1" applyFill="1" applyBorder="1"/>
    <xf numFmtId="0" fontId="12" fillId="2" borderId="11" xfId="0" applyFont="1" applyFill="1" applyBorder="1"/>
    <xf numFmtId="0" fontId="12" fillId="2" borderId="12" xfId="0" applyFont="1" applyFill="1" applyBorder="1"/>
    <xf numFmtId="0" fontId="12" fillId="2" borderId="5" xfId="0" applyFont="1" applyFill="1" applyBorder="1"/>
    <xf numFmtId="3" fontId="12" fillId="2" borderId="17" xfId="0" applyNumberFormat="1" applyFont="1" applyFill="1" applyBorder="1"/>
    <xf numFmtId="0" fontId="12" fillId="2" borderId="18" xfId="0" applyFont="1" applyFill="1" applyBorder="1"/>
    <xf numFmtId="0" fontId="12" fillId="2" borderId="20" xfId="0" applyFont="1" applyFill="1" applyBorder="1"/>
    <xf numFmtId="0" fontId="13" fillId="2" borderId="11" xfId="0" applyFont="1" applyFill="1" applyBorder="1"/>
    <xf numFmtId="0" fontId="13" fillId="2" borderId="0" xfId="0" applyFont="1" applyFill="1"/>
    <xf numFmtId="169" fontId="11" fillId="2" borderId="32" xfId="0" applyNumberFormat="1" applyFont="1" applyFill="1" applyBorder="1"/>
    <xf numFmtId="169" fontId="11" fillId="2" borderId="33" xfId="0" applyNumberFormat="1" applyFont="1" applyFill="1" applyBorder="1"/>
    <xf numFmtId="177" fontId="11" fillId="2" borderId="38" xfId="0" applyNumberFormat="1" applyFont="1" applyFill="1" applyBorder="1"/>
    <xf numFmtId="177" fontId="11" fillId="2" borderId="34" xfId="0" applyNumberFormat="1" applyFont="1" applyFill="1" applyBorder="1"/>
    <xf numFmtId="1" fontId="12" fillId="2" borderId="10" xfId="0" applyNumberFormat="1" applyFont="1" applyFill="1" applyBorder="1"/>
    <xf numFmtId="1" fontId="12" fillId="2" borderId="11" xfId="0" applyNumberFormat="1" applyFont="1" applyFill="1" applyBorder="1"/>
    <xf numFmtId="1" fontId="12" fillId="2" borderId="17" xfId="0" applyNumberFormat="1" applyFont="1" applyFill="1" applyBorder="1"/>
    <xf numFmtId="1" fontId="12" fillId="2" borderId="0" xfId="0" applyNumberFormat="1" applyFont="1" applyFill="1"/>
    <xf numFmtId="1" fontId="12" fillId="2" borderId="5" xfId="0" applyNumberFormat="1" applyFont="1" applyFill="1" applyBorder="1"/>
    <xf numFmtId="1" fontId="12" fillId="2" borderId="18" xfId="0" applyNumberFormat="1" applyFont="1" applyFill="1" applyBorder="1"/>
    <xf numFmtId="1" fontId="12" fillId="2" borderId="19" xfId="0" applyNumberFormat="1" applyFont="1" applyFill="1" applyBorder="1"/>
    <xf numFmtId="1" fontId="12" fillId="2" borderId="20" xfId="0" applyNumberFormat="1" applyFont="1" applyFill="1" applyBorder="1"/>
    <xf numFmtId="10" fontId="12" fillId="2" borderId="11" xfId="1" applyNumberFormat="1" applyFont="1" applyFill="1" applyBorder="1"/>
    <xf numFmtId="10" fontId="12" fillId="2" borderId="12" xfId="1" applyNumberFormat="1" applyFont="1" applyFill="1" applyBorder="1"/>
    <xf numFmtId="10" fontId="12" fillId="2" borderId="19" xfId="1" applyNumberFormat="1" applyFont="1" applyFill="1" applyBorder="1"/>
    <xf numFmtId="10" fontId="12" fillId="2" borderId="20" xfId="1" applyNumberFormat="1" applyFont="1" applyFill="1" applyBorder="1"/>
    <xf numFmtId="10" fontId="12" fillId="2" borderId="18" xfId="0" applyNumberFormat="1" applyFont="1" applyFill="1" applyBorder="1"/>
    <xf numFmtId="10" fontId="12" fillId="2" borderId="10" xfId="1" applyNumberFormat="1" applyFont="1" applyFill="1" applyBorder="1"/>
    <xf numFmtId="10" fontId="12" fillId="2" borderId="17" xfId="1" applyNumberFormat="1" applyFont="1" applyFill="1" applyBorder="1"/>
    <xf numFmtId="10" fontId="12" fillId="2" borderId="0" xfId="1" applyNumberFormat="1" applyFont="1" applyFill="1"/>
    <xf numFmtId="10" fontId="12" fillId="2" borderId="5" xfId="1" applyNumberFormat="1" applyFont="1" applyFill="1" applyBorder="1"/>
    <xf numFmtId="10" fontId="12" fillId="2" borderId="18" xfId="1" applyNumberFormat="1" applyFont="1" applyFill="1" applyBorder="1"/>
    <xf numFmtId="3" fontId="12" fillId="2" borderId="10" xfId="1" applyNumberFormat="1" applyFont="1" applyFill="1" applyBorder="1"/>
    <xf numFmtId="3" fontId="12" fillId="2" borderId="11" xfId="1" applyNumberFormat="1" applyFont="1" applyFill="1" applyBorder="1"/>
    <xf numFmtId="3" fontId="12" fillId="2" borderId="12" xfId="1" applyNumberFormat="1" applyFont="1" applyFill="1" applyBorder="1"/>
    <xf numFmtId="3" fontId="12" fillId="2" borderId="19" xfId="1" applyNumberFormat="1" applyFont="1" applyFill="1" applyBorder="1"/>
    <xf numFmtId="3" fontId="12" fillId="2" borderId="18" xfId="1" applyNumberFormat="1" applyFont="1" applyFill="1" applyBorder="1"/>
    <xf numFmtId="0" fontId="13" fillId="2" borderId="17" xfId="0" applyFont="1" applyFill="1" applyBorder="1"/>
    <xf numFmtId="3" fontId="12" fillId="2" borderId="17" xfId="1" applyNumberFormat="1" applyFont="1" applyFill="1" applyBorder="1"/>
    <xf numFmtId="3" fontId="12" fillId="2" borderId="0" xfId="1" applyNumberFormat="1" applyFont="1" applyFill="1"/>
    <xf numFmtId="3" fontId="12" fillId="2" borderId="5" xfId="1" applyNumberFormat="1" applyFont="1" applyFill="1" applyBorder="1"/>
    <xf numFmtId="3" fontId="12" fillId="2" borderId="20" xfId="1" applyNumberFormat="1" applyFont="1" applyFill="1" applyBorder="1"/>
    <xf numFmtId="0" fontId="14" fillId="2" borderId="0" xfId="0" applyFont="1" applyFill="1"/>
    <xf numFmtId="0" fontId="15" fillId="2" borderId="0" xfId="0" applyFont="1" applyFill="1"/>
    <xf numFmtId="0" fontId="14" fillId="2" borderId="0" xfId="0" applyFont="1" applyFill="1" applyAlignment="1">
      <alignment horizontal="right"/>
    </xf>
    <xf numFmtId="10" fontId="12" fillId="2" borderId="17" xfId="1" applyNumberFormat="1" applyFont="1" applyFill="1" applyBorder="1" applyAlignment="1">
      <alignment horizontal="right"/>
    </xf>
    <xf numFmtId="10" fontId="12" fillId="2" borderId="0" xfId="1" applyNumberFormat="1" applyFont="1" applyFill="1" applyAlignment="1">
      <alignment horizontal="right"/>
    </xf>
    <xf numFmtId="10" fontId="12" fillId="2" borderId="5" xfId="1" applyNumberFormat="1" applyFont="1" applyFill="1" applyBorder="1" applyAlignment="1">
      <alignment horizontal="right"/>
    </xf>
    <xf numFmtId="10" fontId="12" fillId="2" borderId="11" xfId="1" applyNumberFormat="1" applyFont="1" applyFill="1" applyBorder="1" applyAlignment="1">
      <alignment horizontal="right"/>
    </xf>
    <xf numFmtId="10" fontId="12" fillId="2" borderId="12" xfId="1" applyNumberFormat="1" applyFont="1" applyFill="1" applyBorder="1" applyAlignment="1">
      <alignment horizontal="right"/>
    </xf>
    <xf numFmtId="1" fontId="12" fillId="2" borderId="17" xfId="0" applyNumberFormat="1" applyFont="1" applyFill="1" applyBorder="1" applyAlignment="1">
      <alignment horizontal="right"/>
    </xf>
    <xf numFmtId="1" fontId="12" fillId="2" borderId="0" xfId="0" applyNumberFormat="1" applyFont="1" applyFill="1" applyAlignment="1">
      <alignment horizontal="right"/>
    </xf>
    <xf numFmtId="1" fontId="12" fillId="2" borderId="5" xfId="0" applyNumberFormat="1" applyFont="1" applyFill="1" applyBorder="1" applyAlignment="1">
      <alignment horizontal="right"/>
    </xf>
    <xf numFmtId="1" fontId="12" fillId="2" borderId="11" xfId="0" applyNumberFormat="1" applyFont="1" applyFill="1" applyBorder="1" applyAlignment="1">
      <alignment horizontal="right"/>
    </xf>
    <xf numFmtId="1" fontId="12" fillId="2" borderId="12" xfId="0" applyNumberFormat="1" applyFont="1" applyFill="1" applyBorder="1" applyAlignment="1">
      <alignment horizontal="right"/>
    </xf>
    <xf numFmtId="0" fontId="12" fillId="2" borderId="17" xfId="0" applyFont="1" applyFill="1" applyBorder="1" applyAlignment="1">
      <alignment horizontal="right"/>
    </xf>
    <xf numFmtId="0" fontId="12" fillId="2" borderId="0" xfId="0" applyFont="1" applyFill="1" applyAlignment="1">
      <alignment horizontal="right"/>
    </xf>
    <xf numFmtId="0" fontId="12" fillId="2" borderId="5" xfId="0" applyFont="1" applyFill="1" applyBorder="1" applyAlignment="1">
      <alignment horizontal="right"/>
    </xf>
    <xf numFmtId="0" fontId="12" fillId="2" borderId="11" xfId="0" applyFont="1" applyFill="1" applyBorder="1" applyAlignment="1">
      <alignment horizontal="right"/>
    </xf>
    <xf numFmtId="0" fontId="12" fillId="2" borderId="12" xfId="0" applyFont="1" applyFill="1" applyBorder="1" applyAlignment="1">
      <alignment horizontal="right"/>
    </xf>
    <xf numFmtId="3" fontId="13" fillId="2" borderId="10" xfId="0" applyNumberFormat="1" applyFont="1" applyFill="1" applyBorder="1"/>
    <xf numFmtId="3" fontId="12" fillId="2" borderId="5" xfId="0" applyNumberFormat="1" applyFont="1" applyFill="1" applyBorder="1"/>
    <xf numFmtId="0" fontId="11" fillId="2" borderId="0" xfId="0" applyFont="1" applyFill="1" applyAlignment="1">
      <alignment horizontal="right"/>
    </xf>
    <xf numFmtId="0" fontId="16" fillId="2" borderId="0" xfId="0" applyFont="1" applyFill="1"/>
    <xf numFmtId="0" fontId="17" fillId="2" borderId="0" xfId="0" applyFont="1" applyFill="1"/>
    <xf numFmtId="175" fontId="16" fillId="2" borderId="40" xfId="0" applyNumberFormat="1" applyFont="1" applyFill="1" applyBorder="1"/>
    <xf numFmtId="175" fontId="16" fillId="2" borderId="41" xfId="0" applyNumberFormat="1" applyFont="1" applyFill="1" applyBorder="1"/>
    <xf numFmtId="175" fontId="16" fillId="2" borderId="42" xfId="0" applyNumberFormat="1" applyFont="1" applyFill="1" applyBorder="1"/>
    <xf numFmtId="176" fontId="5" fillId="2" borderId="40" xfId="0" applyNumberFormat="1" applyFont="1" applyFill="1" applyBorder="1"/>
    <xf numFmtId="176" fontId="5" fillId="2" borderId="41" xfId="0" applyNumberFormat="1" applyFont="1" applyFill="1" applyBorder="1"/>
    <xf numFmtId="176" fontId="5" fillId="2" borderId="42" xfId="0" applyNumberFormat="1" applyFont="1" applyFill="1" applyBorder="1"/>
    <xf numFmtId="164" fontId="3" fillId="2" borderId="0" xfId="0" applyNumberFormat="1" applyFont="1" applyFill="1" applyAlignment="1">
      <alignment horizontal="left" indent="1"/>
    </xf>
    <xf numFmtId="164" fontId="11" fillId="2" borderId="0" xfId="1" applyNumberFormat="1" applyFont="1" applyFill="1" applyBorder="1" applyAlignment="1">
      <alignment horizontal="left" indent="1"/>
    </xf>
    <xf numFmtId="164" fontId="11" fillId="2" borderId="0" xfId="1" applyNumberFormat="1" applyFont="1" applyFill="1" applyBorder="1" applyAlignment="1">
      <alignment horizontal="left"/>
    </xf>
    <xf numFmtId="176" fontId="12" fillId="2" borderId="0" xfId="0" applyNumberFormat="1" applyFont="1" applyFill="1"/>
    <xf numFmtId="164" fontId="18" fillId="2" borderId="2" xfId="0" applyNumberFormat="1" applyFont="1" applyFill="1" applyBorder="1"/>
    <xf numFmtId="164" fontId="18" fillId="2" borderId="2" xfId="0" applyNumberFormat="1" applyFont="1" applyFill="1" applyBorder="1" applyAlignment="1">
      <alignment horizontal="right"/>
    </xf>
    <xf numFmtId="10" fontId="5" fillId="2" borderId="19" xfId="1" applyNumberFormat="1" applyFont="1" applyFill="1" applyBorder="1"/>
    <xf numFmtId="164" fontId="18" fillId="2" borderId="0" xfId="0" applyNumberFormat="1" applyFont="1" applyFill="1"/>
    <xf numFmtId="17" fontId="0" fillId="2" borderId="0" xfId="0" applyNumberFormat="1" applyFill="1"/>
    <xf numFmtId="178" fontId="5" fillId="2" borderId="0" xfId="1" applyNumberFormat="1" applyFont="1" applyFill="1" applyBorder="1"/>
    <xf numFmtId="179" fontId="5" fillId="2" borderId="0" xfId="1" applyNumberFormat="1" applyFont="1" applyFill="1" applyBorder="1"/>
    <xf numFmtId="0" fontId="14" fillId="2" borderId="43" xfId="0" applyFont="1" applyFill="1" applyBorder="1"/>
    <xf numFmtId="0" fontId="14" fillId="2" borderId="44" xfId="0" applyFont="1" applyFill="1" applyBorder="1" applyAlignment="1">
      <alignment horizontal="right"/>
    </xf>
    <xf numFmtId="0" fontId="11" fillId="2" borderId="43" xfId="0" applyFont="1" applyFill="1" applyBorder="1" applyAlignment="1">
      <alignment wrapText="1"/>
    </xf>
    <xf numFmtId="0" fontId="11" fillId="2" borderId="44" xfId="0" applyFont="1" applyFill="1" applyBorder="1" applyAlignment="1">
      <alignment horizontal="right" wrapText="1"/>
    </xf>
    <xf numFmtId="165" fontId="6" fillId="2" borderId="43" xfId="0" applyNumberFormat="1" applyFont="1" applyFill="1" applyBorder="1" applyAlignment="1">
      <alignment horizontal="center" vertical="center"/>
    </xf>
    <xf numFmtId="165" fontId="6" fillId="2" borderId="45" xfId="0" applyNumberFormat="1" applyFont="1" applyFill="1" applyBorder="1" applyAlignment="1">
      <alignment horizontal="center" vertical="center"/>
    </xf>
    <xf numFmtId="166" fontId="6" fillId="2" borderId="45" xfId="0" applyNumberFormat="1" applyFont="1" applyFill="1" applyBorder="1" applyAlignment="1">
      <alignment horizontal="center" vertical="center"/>
    </xf>
    <xf numFmtId="166" fontId="6" fillId="2" borderId="44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right"/>
    </xf>
    <xf numFmtId="165" fontId="6" fillId="2" borderId="44" xfId="0" applyNumberFormat="1" applyFont="1" applyFill="1" applyBorder="1" applyAlignment="1">
      <alignment horizontal="center" vertical="center"/>
    </xf>
    <xf numFmtId="164" fontId="6" fillId="2" borderId="43" xfId="0" applyNumberFormat="1" applyFont="1" applyFill="1" applyBorder="1"/>
    <xf numFmtId="164" fontId="6" fillId="2" borderId="45" xfId="0" applyNumberFormat="1" applyFont="1" applyFill="1" applyBorder="1"/>
    <xf numFmtId="164" fontId="6" fillId="2" borderId="44" xfId="0" applyNumberFormat="1" applyFont="1" applyFill="1" applyBorder="1"/>
    <xf numFmtId="0" fontId="0" fillId="4" borderId="46" xfId="0" applyFill="1" applyBorder="1"/>
    <xf numFmtId="0" fontId="20" fillId="4" borderId="47" xfId="0" applyFont="1" applyFill="1" applyBorder="1"/>
    <xf numFmtId="0" fontId="20" fillId="3" borderId="47" xfId="0" applyFont="1" applyFill="1" applyBorder="1"/>
    <xf numFmtId="0" fontId="0" fillId="3" borderId="47" xfId="0" applyFill="1" applyBorder="1"/>
    <xf numFmtId="0" fontId="0" fillId="3" borderId="48" xfId="0" applyFill="1" applyBorder="1"/>
    <xf numFmtId="0" fontId="20" fillId="4" borderId="0" xfId="0" applyFont="1" applyFill="1"/>
    <xf numFmtId="164" fontId="24" fillId="3" borderId="0" xfId="0" applyNumberFormat="1" applyFont="1" applyFill="1"/>
    <xf numFmtId="0" fontId="20" fillId="3" borderId="0" xfId="0" applyFont="1" applyFill="1"/>
    <xf numFmtId="0" fontId="0" fillId="3" borderId="50" xfId="0" applyFill="1" applyBorder="1"/>
    <xf numFmtId="0" fontId="0" fillId="4" borderId="49" xfId="0" applyFill="1" applyBorder="1"/>
    <xf numFmtId="0" fontId="0" fillId="4" borderId="0" xfId="0" applyFill="1"/>
    <xf numFmtId="0" fontId="22" fillId="2" borderId="49" xfId="0" applyFont="1" applyFill="1" applyBorder="1"/>
    <xf numFmtId="0" fontId="23" fillId="2" borderId="0" xfId="0" applyFont="1" applyFill="1"/>
    <xf numFmtId="0" fontId="0" fillId="2" borderId="50" xfId="0" applyFill="1" applyBorder="1"/>
    <xf numFmtId="0" fontId="0" fillId="2" borderId="49" xfId="0" applyFill="1" applyBorder="1"/>
    <xf numFmtId="0" fontId="0" fillId="5" borderId="49" xfId="0" applyFill="1" applyBorder="1"/>
    <xf numFmtId="0" fontId="0" fillId="5" borderId="0" xfId="0" applyFill="1"/>
    <xf numFmtId="0" fontId="0" fillId="5" borderId="50" xfId="0" applyFill="1" applyBorder="1"/>
    <xf numFmtId="0" fontId="19" fillId="5" borderId="49" xfId="0" applyFont="1" applyFill="1" applyBorder="1"/>
    <xf numFmtId="164" fontId="18" fillId="5" borderId="0" xfId="0" applyNumberFormat="1" applyFont="1" applyFill="1"/>
    <xf numFmtId="164" fontId="18" fillId="5" borderId="0" xfId="0" applyNumberFormat="1" applyFont="1" applyFill="1" applyAlignment="1">
      <alignment horizontal="centerContinuous"/>
    </xf>
    <xf numFmtId="164" fontId="18" fillId="5" borderId="50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Continuous"/>
    </xf>
    <xf numFmtId="180" fontId="18" fillId="5" borderId="0" xfId="1" applyNumberFormat="1" applyFont="1" applyFill="1" applyBorder="1" applyAlignment="1">
      <alignment horizontal="centerContinuous"/>
    </xf>
    <xf numFmtId="180" fontId="18" fillId="5" borderId="0" xfId="1" applyNumberFormat="1" applyFont="1" applyFill="1" applyBorder="1" applyAlignment="1">
      <alignment horizontal="center"/>
    </xf>
    <xf numFmtId="3" fontId="18" fillId="5" borderId="0" xfId="1" applyNumberFormat="1" applyFont="1" applyFill="1" applyBorder="1" applyAlignment="1">
      <alignment horizontal="centerContinuous"/>
    </xf>
    <xf numFmtId="180" fontId="18" fillId="5" borderId="50" xfId="1" applyNumberFormat="1" applyFont="1" applyFill="1" applyBorder="1" applyAlignment="1">
      <alignment horizontal="centerContinuous"/>
    </xf>
    <xf numFmtId="164" fontId="8" fillId="3" borderId="50" xfId="0" applyNumberFormat="1" applyFont="1" applyFill="1" applyBorder="1"/>
    <xf numFmtId="0" fontId="0" fillId="2" borderId="51" xfId="0" applyFill="1" applyBorder="1"/>
    <xf numFmtId="0" fontId="0" fillId="2" borderId="28" xfId="0" applyFill="1" applyBorder="1"/>
    <xf numFmtId="0" fontId="0" fillId="2" borderId="52" xfId="0" applyFill="1" applyBorder="1"/>
    <xf numFmtId="164" fontId="8" fillId="3" borderId="49" xfId="0" applyNumberFormat="1" applyFont="1" applyFill="1" applyBorder="1" applyAlignment="1">
      <alignment horizontal="left" indent="2"/>
    </xf>
    <xf numFmtId="164" fontId="21" fillId="4" borderId="49" xfId="0" applyNumberFormat="1" applyFont="1" applyFill="1" applyBorder="1" applyAlignment="1">
      <alignment horizontal="left" indent="2"/>
    </xf>
    <xf numFmtId="3" fontId="18" fillId="5" borderId="0" xfId="1" applyNumberFormat="1" applyFont="1" applyFill="1" applyBorder="1" applyAlignment="1"/>
    <xf numFmtId="187" fontId="18" fillId="5" borderId="0" xfId="0" applyNumberFormat="1" applyFont="1" applyFill="1" applyAlignment="1">
      <alignment horizontal="centerContinuous"/>
    </xf>
    <xf numFmtId="188" fontId="18" fillId="5" borderId="0" xfId="1" applyNumberFormat="1" applyFont="1" applyFill="1" applyBorder="1" applyAlignment="1">
      <alignment horizontal="centerContinuous"/>
    </xf>
    <xf numFmtId="188" fontId="18" fillId="5" borderId="0" xfId="1" applyNumberFormat="1" applyFont="1" applyFill="1" applyBorder="1" applyAlignment="1"/>
    <xf numFmtId="187" fontId="18" fillId="5" borderId="0" xfId="0" applyNumberFormat="1" applyFont="1" applyFill="1" applyAlignment="1">
      <alignment horizontal="left" indent="3"/>
    </xf>
  </cellXfs>
  <cellStyles count="2">
    <cellStyle name="Normal" xfId="0" builtinId="0"/>
    <cellStyle name="Percent" xfId="1" builtinId="5"/>
  </cellStyles>
  <dxfs count="2"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</dxfs>
  <tableStyles count="0" defaultTableStyle="TableStyleMedium2" defaultPivotStyle="PivotStyleLight16"/>
  <colors>
    <mruColors>
      <color rgb="FFFF6600"/>
      <color rgb="FFBC64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8872594886017107E-2"/>
                      <c:h val="7.48804334849588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69C-45D5-98F5-8E90350999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9C-45D5-98F5-8E90350999D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9C-45D5-98F5-8E90350999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9C-45D5-98F5-8E90350999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9C-45D5-98F5-8E90350999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9C-45D5-98F5-8E90350999D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9C-45D5-98F5-8E90350999D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9C-45D5-98F5-8E90350999D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9C-45D5-98F5-8E90350999D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9C-45D5-98F5-8E90350999D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9C-45D5-98F5-8E90350999D3}"/>
                </c:ext>
              </c:extLst>
            </c:dLbl>
            <c:dLbl>
              <c:idx val="11"/>
              <c:layout>
                <c:manualLayout>
                  <c:x val="-6.6225165562913907E-3"/>
                  <c:y val="6.43939393939393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9C-45D5-98F5-8E903509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Graphs!$F$153:$Q$153</c:f>
              <c:numCache>
                <c:formatCode>General</c:formatCode>
                <c:ptCount val="12"/>
                <c:pt idx="0" formatCode="#,##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600000000</c:v>
                </c:pt>
                <c:pt idx="4">
                  <c:v>600000000</c:v>
                </c:pt>
                <c:pt idx="5">
                  <c:v>378000000</c:v>
                </c:pt>
                <c:pt idx="6">
                  <c:v>378000000</c:v>
                </c:pt>
                <c:pt idx="7">
                  <c:v>378000000</c:v>
                </c:pt>
                <c:pt idx="8">
                  <c:v>378000000</c:v>
                </c:pt>
                <c:pt idx="9">
                  <c:v>378000000</c:v>
                </c:pt>
                <c:pt idx="10">
                  <c:v>378000000</c:v>
                </c:pt>
                <c:pt idx="11">
                  <c:v>378000000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9C-45D5-98F5-8E90350999D3}"/>
            </c:ext>
          </c:extLst>
        </c:ser>
        <c:ser>
          <c:idx val="3"/>
          <c:order val="1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9C-45D5-98F5-8E90350999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9C-45D5-98F5-8E90350999D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69C-45D5-98F5-8E90350999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9C-45D5-98F5-8E90350999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9C-45D5-98F5-8E90350999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69C-45D5-98F5-8E90350999D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69C-45D5-98F5-8E90350999D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69C-45D5-98F5-8E90350999D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69C-45D5-98F5-8E90350999D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69C-45D5-98F5-8E90350999D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69C-45D5-98F5-8E90350999D3}"/>
                </c:ext>
              </c:extLst>
            </c:dLbl>
            <c:dLbl>
              <c:idx val="11"/>
              <c:layout>
                <c:manualLayout>
                  <c:x val="-1.5452538631346579E-2"/>
                  <c:y val="-6.060606060606060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69C-45D5-98F5-8E903509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Graphs!$F$154:$Q$154</c:f>
              <c:numCache>
                <c:formatCode>General</c:formatCode>
                <c:ptCount val="12"/>
                <c:pt idx="0">
                  <c:v>385560000</c:v>
                </c:pt>
                <c:pt idx="1">
                  <c:v>385560000</c:v>
                </c:pt>
                <c:pt idx="2">
                  <c:v>385560000</c:v>
                </c:pt>
                <c:pt idx="3">
                  <c:v>393185520</c:v>
                </c:pt>
                <c:pt idx="4">
                  <c:v>400884479.99999994</c:v>
                </c:pt>
                <c:pt idx="5">
                  <c:v>408656879.99999994</c:v>
                </c:pt>
                <c:pt idx="6">
                  <c:v>416502720</c:v>
                </c:pt>
                <c:pt idx="7">
                  <c:v>424422000</c:v>
                </c:pt>
                <c:pt idx="8">
                  <c:v>432414720</c:v>
                </c:pt>
                <c:pt idx="9">
                  <c:v>440480880</c:v>
                </c:pt>
                <c:pt idx="10">
                  <c:v>448620480</c:v>
                </c:pt>
                <c:pt idx="11">
                  <c:v>456833520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9C-45D5-98F5-8E90350999D3}"/>
            </c:ext>
          </c:extLst>
        </c:ser>
        <c:ser>
          <c:idx val="0"/>
          <c:order val="2"/>
          <c:tx>
            <c:v>2026 Actuals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 cmpd="sng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269C-45D5-98F5-8E90350999D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269C-45D5-98F5-8E90350999D3}"/>
              </c:ext>
            </c:extLst>
          </c:dPt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Graphs!$F$151:$Q$151</c:f>
              <c:numCache>
                <c:formatCode>General</c:formatCode>
                <c:ptCount val="12"/>
                <c:pt idx="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69C-45D5-98F5-8E90350999D3}"/>
            </c:ext>
          </c:extLst>
        </c:ser>
        <c:ser>
          <c:idx val="1"/>
          <c:order val="3"/>
          <c:tx>
            <c:v>2027 Actuals</c:v>
          </c:tx>
          <c:spPr>
            <a:ln w="381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Graphs!$F$152:$Q$152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9C-45D5-98F5-8E903509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A6-479F-8B0A-F667CE0EA59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A6-479F-8B0A-F667CE0EA5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6-479F-8B0A-F667CE0EA5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A6-479F-8B0A-F667CE0EA5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A6-479F-8B0A-F667CE0EA5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A6-479F-8B0A-F667CE0EA5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A6-479F-8B0A-F667CE0EA5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A6-479F-8B0A-F667CE0EA5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A6-479F-8B0A-F667CE0EA5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6-479F-8B0A-F667CE0EA59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A6-479F-8B0A-F667CE0EA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Graphs!$F$170:$Q$170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63601388.969026238</c:v>
                </c:pt>
                <c:pt idx="4">
                  <c:v>61450020.949203014</c:v>
                </c:pt>
                <c:pt idx="5">
                  <c:v>-49092297.850537419</c:v>
                </c:pt>
                <c:pt idx="6">
                  <c:v>-50731179.841444284</c:v>
                </c:pt>
                <c:pt idx="7">
                  <c:v>-52376940.316485226</c:v>
                </c:pt>
                <c:pt idx="8">
                  <c:v>-54029609.991258502</c:v>
                </c:pt>
                <c:pt idx="9">
                  <c:v>-55689219.723824084</c:v>
                </c:pt>
                <c:pt idx="10">
                  <c:v>-57355800.515378833</c:v>
                </c:pt>
                <c:pt idx="11">
                  <c:v>-59029383.510934561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EA6-479F-8B0A-F667CE0EA592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A6-479F-8B0A-F667CE0EA59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A6-479F-8B0A-F667CE0EA5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A6-479F-8B0A-F667CE0EA5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A6-479F-8B0A-F667CE0EA5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EA6-479F-8B0A-F667CE0EA5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A6-479F-8B0A-F667CE0EA5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EA6-479F-8B0A-F667CE0EA5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EA6-479F-8B0A-F667CE0EA5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EA6-479F-8B0A-F667CE0EA5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EA6-479F-8B0A-F667CE0EA59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EA6-479F-8B0A-F667CE0EA5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AEA6-479F-8B0A-F667CE0EA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Graphs!$F$171:$Q$171</c:f>
              <c:numCache>
                <c:formatCode>0</c:formatCode>
                <c:ptCount val="12"/>
                <c:pt idx="0">
                  <c:v>-53150000.000000209</c:v>
                </c:pt>
                <c:pt idx="1">
                  <c:v>-54837681.417266279</c:v>
                </c:pt>
                <c:pt idx="2">
                  <c:v>-56532459.343293071</c:v>
                </c:pt>
                <c:pt idx="3">
                  <c:v>-52989748.637284368</c:v>
                </c:pt>
                <c:pt idx="4">
                  <c:v>-49403037.077131152</c:v>
                </c:pt>
                <c:pt idx="5">
                  <c:v>-45772515.658696085</c:v>
                </c:pt>
                <c:pt idx="6">
                  <c:v>-42098376.544114411</c:v>
                </c:pt>
                <c:pt idx="7">
                  <c:v>-38380813.068636298</c:v>
                </c:pt>
                <c:pt idx="8">
                  <c:v>-34620019.747508287</c:v>
                </c:pt>
                <c:pt idx="9">
                  <c:v>-30816192.28289482</c:v>
                </c:pt>
                <c:pt idx="10">
                  <c:v>-26969527.57083863</c:v>
                </c:pt>
                <c:pt idx="11">
                  <c:v>-23080223.708260715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EA6-479F-8B0A-F667CE0EA592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Graphs!$F$168:$Q$168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EA6-479F-8B0A-F667CE0EA592}"/>
            </c:ext>
          </c:extLst>
        </c:ser>
        <c:ser>
          <c:idx val="1"/>
          <c:order val="3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Graphs!$F$169:$Q$169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EA6-479F-8B0A-F667CE0EA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341421241173235E-2"/>
          <c:y val="4.1122958143005775E-2"/>
          <c:w val="0.89023926781775353"/>
          <c:h val="0.87495245634079888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B8-4287-B375-7B70A40E8E1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B8-4287-B375-7B70A40E8E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B8-4287-B375-7B70A40E8E1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B8-4287-B375-7B70A40E8E1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B8-4287-B375-7B70A40E8E1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B8-4287-B375-7B70A40E8E1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B8-4287-B375-7B70A40E8E1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B8-4287-B375-7B70A40E8E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B8-4287-B375-7B70A40E8E1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B8-4287-B375-7B70A40E8E1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B8-4287-B375-7B70A40E8E1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F3B8-4287-B375-7B70A40E8E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Graphs!$F$187:$Q$187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0.10600231494837706</c:v>
                </c:pt>
                <c:pt idx="4">
                  <c:v>0.10241670158200503</c:v>
                </c:pt>
                <c:pt idx="5">
                  <c:v>-0.12987380383740058</c:v>
                </c:pt>
                <c:pt idx="6">
                  <c:v>-0.13420947048001133</c:v>
                </c:pt>
                <c:pt idx="7">
                  <c:v>-0.13856333417059583</c:v>
                </c:pt>
                <c:pt idx="8">
                  <c:v>-0.14293547616735053</c:v>
                </c:pt>
                <c:pt idx="9">
                  <c:v>-0.14732597810535472</c:v>
                </c:pt>
                <c:pt idx="10">
                  <c:v>-0.1517349219983567</c:v>
                </c:pt>
                <c:pt idx="11">
                  <c:v>-0.15616239024056763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B8-4287-B375-7B70A40E8E1A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3B8-4287-B375-7B70A40E8E1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B8-4287-B375-7B70A40E8E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B8-4287-B375-7B70A40E8E1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B8-4287-B375-7B70A40E8E1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B8-4287-B375-7B70A40E8E1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3B8-4287-B375-7B70A40E8E1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3B8-4287-B375-7B70A40E8E1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3B8-4287-B375-7B70A40E8E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3B8-4287-B375-7B70A40E8E1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3B8-4287-B375-7B70A40E8E1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3B8-4287-B375-7B70A40E8E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Graphs!$F$188:$Q$188</c:f>
              <c:numCache>
                <c:formatCode>0.00%</c:formatCode>
                <c:ptCount val="12"/>
                <c:pt idx="0">
                  <c:v>-0.13785143687104526</c:v>
                </c:pt>
                <c:pt idx="1">
                  <c:v>-0.14222865810059726</c:v>
                </c:pt>
                <c:pt idx="2">
                  <c:v>-0.14662428504848291</c:v>
                </c:pt>
                <c:pt idx="3">
                  <c:v>-0.13477034616453926</c:v>
                </c:pt>
                <c:pt idx="4">
                  <c:v>-0.12323509525021063</c:v>
                </c:pt>
                <c:pt idx="5">
                  <c:v>-0.11200720677624733</c:v>
                </c:pt>
                <c:pt idx="6">
                  <c:v>-0.1010758742322605</c:v>
                </c:pt>
                <c:pt idx="7">
                  <c:v>-9.0430781318207587E-2</c:v>
                </c:pt>
                <c:pt idx="8">
                  <c:v>-8.0062075008705269E-2</c:v>
                </c:pt>
                <c:pt idx="9">
                  <c:v>-6.996034035097011E-2</c:v>
                </c:pt>
                <c:pt idx="10">
                  <c:v>-6.0116576868801508E-2</c:v>
                </c:pt>
                <c:pt idx="11">
                  <c:v>-5.0522176455573387E-2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3B8-4287-B375-7B70A40E8E1A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  <a:prstDash val="solid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Graphs!$F$185:$Q$185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3B8-4287-B375-7B70A40E8E1A}"/>
            </c:ext>
          </c:extLst>
        </c:ser>
        <c:ser>
          <c:idx val="1"/>
          <c:order val="3"/>
          <c:tx>
            <c:v>2027</c:v>
          </c:tx>
          <c:spPr>
            <a:ln w="508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tx2">
                    <a:lumMod val="25000"/>
                    <a:lumOff val="75000"/>
                  </a:schemeClr>
                </a:solidFill>
                <a:prstDash val="dash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Graphs!$F$186:$Q$186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3B8-4287-B375-7B70A40E8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Graphs!$F$228</c:f>
              <c:strCache>
                <c:ptCount val="1"/>
                <c:pt idx="0">
                  <c:v>2026 Revenue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Graphs!$F$230:$F$232</c:f>
              <c:numCache>
                <c:formatCode>#,##0</c:formatCode>
                <c:ptCount val="3"/>
                <c:pt idx="0">
                  <c:v>7224900000</c:v>
                </c:pt>
                <c:pt idx="1">
                  <c:v>6531900000</c:v>
                </c:pt>
                <c:pt idx="2">
                  <c:v>5670900000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3-43C1-ADC1-A1C51D726F03}"/>
            </c:ext>
          </c:extLst>
        </c:ser>
        <c:ser>
          <c:idx val="1"/>
          <c:order val="1"/>
          <c:tx>
            <c:strRef>
              <c:f>Graphs!$G$228</c:f>
              <c:strCache>
                <c:ptCount val="1"/>
                <c:pt idx="0">
                  <c:v>2027 Revenue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Graphs!$G$230:$G$232</c:f>
              <c:numCache>
                <c:formatCode>#,##0</c:formatCode>
                <c:ptCount val="3"/>
                <c:pt idx="0">
                  <c:v>7344000000</c:v>
                </c:pt>
                <c:pt idx="1">
                  <c:v>6666516000</c:v>
                </c:pt>
                <c:pt idx="2">
                  <c:v>4978681200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3-43C1-ADC1-A1C51D726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734368"/>
        <c:axId val="220479856"/>
      </c:barChart>
      <c:catAx>
        <c:axId val="3267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79856"/>
        <c:crosses val="autoZero"/>
        <c:auto val="1"/>
        <c:lblAlgn val="ctr"/>
        <c:lblOffset val="100"/>
        <c:noMultiLvlLbl val="0"/>
      </c:catAx>
      <c:valAx>
        <c:axId val="2204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8872594886017107E-2"/>
                      <c:h val="7.48804334849588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559-44C8-9DF8-64B8546250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59-44C8-9DF8-64B8546250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59-44C8-9DF8-64B8546250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559-44C8-9DF8-64B8546250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559-44C8-9DF8-64B8546250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559-44C8-9DF8-64B8546250C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559-44C8-9DF8-64B8546250C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559-44C8-9DF8-64B8546250C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559-44C8-9DF8-64B8546250C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559-44C8-9DF8-64B8546250C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559-44C8-9DF8-64B8546250C8}"/>
                </c:ext>
              </c:extLst>
            </c:dLbl>
            <c:dLbl>
              <c:idx val="1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559-44C8-9DF8-64B854625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Graphs!$F$153:$Q$153</c:f>
              <c:numCache>
                <c:formatCode>General</c:formatCode>
                <c:ptCount val="12"/>
                <c:pt idx="0" formatCode="#,##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600000000</c:v>
                </c:pt>
                <c:pt idx="4">
                  <c:v>600000000</c:v>
                </c:pt>
                <c:pt idx="5">
                  <c:v>378000000</c:v>
                </c:pt>
                <c:pt idx="6">
                  <c:v>378000000</c:v>
                </c:pt>
                <c:pt idx="7">
                  <c:v>378000000</c:v>
                </c:pt>
                <c:pt idx="8">
                  <c:v>378000000</c:v>
                </c:pt>
                <c:pt idx="9">
                  <c:v>378000000</c:v>
                </c:pt>
                <c:pt idx="10">
                  <c:v>378000000</c:v>
                </c:pt>
                <c:pt idx="11">
                  <c:v>378000000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9-44C8-9DF8-64B8546250C8}"/>
            </c:ext>
          </c:extLst>
        </c:ser>
        <c:ser>
          <c:idx val="3"/>
          <c:order val="1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559-44C8-9DF8-64B8546250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59-44C8-9DF8-64B8546250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559-44C8-9DF8-64B8546250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59-44C8-9DF8-64B8546250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559-44C8-9DF8-64B8546250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59-44C8-9DF8-64B8546250C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59-44C8-9DF8-64B8546250C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559-44C8-9DF8-64B8546250C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559-44C8-9DF8-64B8546250C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559-44C8-9DF8-64B8546250C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559-44C8-9DF8-64B854625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Graphs!$F$154:$Q$154</c:f>
              <c:numCache>
                <c:formatCode>General</c:formatCode>
                <c:ptCount val="12"/>
                <c:pt idx="0">
                  <c:v>385560000</c:v>
                </c:pt>
                <c:pt idx="1">
                  <c:v>385560000</c:v>
                </c:pt>
                <c:pt idx="2">
                  <c:v>385560000</c:v>
                </c:pt>
                <c:pt idx="3">
                  <c:v>393185520</c:v>
                </c:pt>
                <c:pt idx="4">
                  <c:v>400884479.99999994</c:v>
                </c:pt>
                <c:pt idx="5">
                  <c:v>408656879.99999994</c:v>
                </c:pt>
                <c:pt idx="6">
                  <c:v>416502720</c:v>
                </c:pt>
                <c:pt idx="7">
                  <c:v>424422000</c:v>
                </c:pt>
                <c:pt idx="8">
                  <c:v>432414720</c:v>
                </c:pt>
                <c:pt idx="9">
                  <c:v>440480880</c:v>
                </c:pt>
                <c:pt idx="10">
                  <c:v>448620480</c:v>
                </c:pt>
                <c:pt idx="11">
                  <c:v>456833520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59-44C8-9DF8-64B8546250C8}"/>
            </c:ext>
          </c:extLst>
        </c:ser>
        <c:ser>
          <c:idx val="0"/>
          <c:order val="2"/>
          <c:tx>
            <c:v>2026 Actuals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 cmpd="sng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59-44C8-9DF8-64B8546250C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559-44C8-9DF8-64B8546250C8}"/>
              </c:ext>
            </c:extLst>
          </c:dPt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Graphs!$F$151:$Q$151</c:f>
              <c:numCache>
                <c:formatCode>General</c:formatCode>
                <c:ptCount val="12"/>
                <c:pt idx="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9-44C8-9DF8-64B8546250C8}"/>
            </c:ext>
          </c:extLst>
        </c:ser>
        <c:ser>
          <c:idx val="1"/>
          <c:order val="3"/>
          <c:tx>
            <c:v>2027 Actuals</c:v>
          </c:tx>
          <c:spPr>
            <a:ln w="381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Graphs!$F$152:$Q$152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9-44C8-9DF8-64B854625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83-4020-B00D-13419D8EA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83-4020-B00D-13419D8EA0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83-4020-B00D-13419D8EA0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83-4020-B00D-13419D8EA0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83-4020-B00D-13419D8EA0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83-4020-B00D-13419D8EA0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83-4020-B00D-13419D8EA0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83-4020-B00D-13419D8EA0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83-4020-B00D-13419D8EA0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83-4020-B00D-13419D8EA0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83-4020-B00D-13419D8EA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Graphs!$F$170:$Q$170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63601388.969026238</c:v>
                </c:pt>
                <c:pt idx="4">
                  <c:v>61450020.949203014</c:v>
                </c:pt>
                <c:pt idx="5">
                  <c:v>-49092297.850537419</c:v>
                </c:pt>
                <c:pt idx="6">
                  <c:v>-50731179.841444284</c:v>
                </c:pt>
                <c:pt idx="7">
                  <c:v>-52376940.316485226</c:v>
                </c:pt>
                <c:pt idx="8">
                  <c:v>-54029609.991258502</c:v>
                </c:pt>
                <c:pt idx="9">
                  <c:v>-55689219.723824084</c:v>
                </c:pt>
                <c:pt idx="10">
                  <c:v>-57355800.515378833</c:v>
                </c:pt>
                <c:pt idx="11">
                  <c:v>-59029383.510934561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83-4020-B00D-13419D8EA06C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83-4020-B00D-13419D8EA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83-4020-B00D-13419D8EA0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83-4020-B00D-13419D8EA0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83-4020-B00D-13419D8EA0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83-4020-B00D-13419D8EA0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83-4020-B00D-13419D8EA0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83-4020-B00D-13419D8EA0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83-4020-B00D-13419D8EA0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83-4020-B00D-13419D8EA0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083-4020-B00D-13419D8EA0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83-4020-B00D-13419D8EA06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7083-4020-B00D-13419D8EA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Graphs!$F$171:$Q$171</c:f>
              <c:numCache>
                <c:formatCode>0</c:formatCode>
                <c:ptCount val="12"/>
                <c:pt idx="0">
                  <c:v>-53150000.000000209</c:v>
                </c:pt>
                <c:pt idx="1">
                  <c:v>-54837681.417266279</c:v>
                </c:pt>
                <c:pt idx="2">
                  <c:v>-56532459.343293071</c:v>
                </c:pt>
                <c:pt idx="3">
                  <c:v>-52989748.637284368</c:v>
                </c:pt>
                <c:pt idx="4">
                  <c:v>-49403037.077131152</c:v>
                </c:pt>
                <c:pt idx="5">
                  <c:v>-45772515.658696085</c:v>
                </c:pt>
                <c:pt idx="6">
                  <c:v>-42098376.544114411</c:v>
                </c:pt>
                <c:pt idx="7">
                  <c:v>-38380813.068636298</c:v>
                </c:pt>
                <c:pt idx="8">
                  <c:v>-34620019.747508287</c:v>
                </c:pt>
                <c:pt idx="9">
                  <c:v>-30816192.28289482</c:v>
                </c:pt>
                <c:pt idx="10">
                  <c:v>-26969527.57083863</c:v>
                </c:pt>
                <c:pt idx="11">
                  <c:v>-23080223.708260715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083-4020-B00D-13419D8EA06C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Graphs!$F$168:$Q$168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083-4020-B00D-13419D8EA06C}"/>
            </c:ext>
          </c:extLst>
        </c:ser>
        <c:ser>
          <c:idx val="1"/>
          <c:order val="3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Graphs!$F$169:$Q$169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083-4020-B00D-13419D8EA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341421241173235E-2"/>
          <c:y val="4.1122958143005775E-2"/>
          <c:w val="0.89023926781775353"/>
          <c:h val="0.87495245634079888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12-434A-99DB-18D04DD24D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12-434A-99DB-18D04DD24D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12-434A-99DB-18D04DD24D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12-434A-99DB-18D04DD24D1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12-434A-99DB-18D04DD24D1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12-434A-99DB-18D04DD24D1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12-434A-99DB-18D04DD24D1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12-434A-99DB-18D04DD24D1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12-434A-99DB-18D04DD24D1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12-434A-99DB-18D04DD24D1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12-434A-99DB-18D04DD24D1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B912-434A-99DB-18D04DD24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Graphs!$F$187:$Q$187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0.10600231494837706</c:v>
                </c:pt>
                <c:pt idx="4">
                  <c:v>0.10241670158200503</c:v>
                </c:pt>
                <c:pt idx="5">
                  <c:v>-0.12987380383740058</c:v>
                </c:pt>
                <c:pt idx="6">
                  <c:v>-0.13420947048001133</c:v>
                </c:pt>
                <c:pt idx="7">
                  <c:v>-0.13856333417059583</c:v>
                </c:pt>
                <c:pt idx="8">
                  <c:v>-0.14293547616735053</c:v>
                </c:pt>
                <c:pt idx="9">
                  <c:v>-0.14732597810535472</c:v>
                </c:pt>
                <c:pt idx="10">
                  <c:v>-0.1517349219983567</c:v>
                </c:pt>
                <c:pt idx="11">
                  <c:v>-0.15616239024056763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912-434A-99DB-18D04DD24D18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12-434A-99DB-18D04DD24D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12-434A-99DB-18D04DD24D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12-434A-99DB-18D04DD24D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12-434A-99DB-18D04DD24D1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12-434A-99DB-18D04DD24D1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12-434A-99DB-18D04DD24D1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12-434A-99DB-18D04DD24D1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12-434A-99DB-18D04DD24D1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12-434A-99DB-18D04DD24D1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12-434A-99DB-18D04DD24D1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12-434A-99DB-18D04DD24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Graphs!$F$188:$Q$188</c:f>
              <c:numCache>
                <c:formatCode>0.00%</c:formatCode>
                <c:ptCount val="12"/>
                <c:pt idx="0">
                  <c:v>-0.13785143687104526</c:v>
                </c:pt>
                <c:pt idx="1">
                  <c:v>-0.14222865810059726</c:v>
                </c:pt>
                <c:pt idx="2">
                  <c:v>-0.14662428504848291</c:v>
                </c:pt>
                <c:pt idx="3">
                  <c:v>-0.13477034616453926</c:v>
                </c:pt>
                <c:pt idx="4">
                  <c:v>-0.12323509525021063</c:v>
                </c:pt>
                <c:pt idx="5">
                  <c:v>-0.11200720677624733</c:v>
                </c:pt>
                <c:pt idx="6">
                  <c:v>-0.1010758742322605</c:v>
                </c:pt>
                <c:pt idx="7">
                  <c:v>-9.0430781318207587E-2</c:v>
                </c:pt>
                <c:pt idx="8">
                  <c:v>-8.0062075008705269E-2</c:v>
                </c:pt>
                <c:pt idx="9">
                  <c:v>-6.996034035097011E-2</c:v>
                </c:pt>
                <c:pt idx="10">
                  <c:v>-6.0116576868801508E-2</c:v>
                </c:pt>
                <c:pt idx="11">
                  <c:v>-5.0522176455573387E-2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912-434A-99DB-18D04DD24D18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  <a:prstDash val="solid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Graphs!$F$185:$Q$185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912-434A-99DB-18D04DD24D18}"/>
            </c:ext>
          </c:extLst>
        </c:ser>
        <c:ser>
          <c:idx val="1"/>
          <c:order val="3"/>
          <c:tx>
            <c:v>2027</c:v>
          </c:tx>
          <c:spPr>
            <a:ln w="508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tx2">
                    <a:lumMod val="25000"/>
                    <a:lumOff val="75000"/>
                  </a:schemeClr>
                </a:solidFill>
                <a:prstDash val="dash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Graphs!$F$186:$Q$186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912-434A-99DB-18D04DD2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214740008945205E-2"/>
          <c:y val="4.400686957325399E-2"/>
          <c:w val="0.88812389792434965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47-4AC5-9ABA-D816AE9E25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47-4AC5-9ABA-D816AE9E25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47-4AC5-9ABA-D816AE9E25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47-4AC5-9ABA-D816AE9E25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47-4AC5-9ABA-D816AE9E25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47-4AC5-9ABA-D816AE9E25D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47-4AC5-9ABA-D816AE9E25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47-4AC5-9ABA-D816AE9E25D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47-4AC5-9ABA-D816AE9E25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47-4AC5-9ABA-D816AE9E25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47-4AC5-9ABA-D816AE9E25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Graphs!$F$204:$Q$204</c:f>
              <c:numCache>
                <c:formatCode>#,##0</c:formatCode>
                <c:ptCount val="12"/>
                <c:pt idx="0">
                  <c:v>19720</c:v>
                </c:pt>
                <c:pt idx="1">
                  <c:v>21230</c:v>
                </c:pt>
                <c:pt idx="2">
                  <c:v>19880</c:v>
                </c:pt>
                <c:pt idx="3">
                  <c:v>20000</c:v>
                </c:pt>
                <c:pt idx="4">
                  <c:v>20000</c:v>
                </c:pt>
                <c:pt idx="5">
                  <c:v>14000</c:v>
                </c:pt>
                <c:pt idx="6">
                  <c:v>14000</c:v>
                </c:pt>
                <c:pt idx="7">
                  <c:v>14000</c:v>
                </c:pt>
                <c:pt idx="8">
                  <c:v>14000</c:v>
                </c:pt>
                <c:pt idx="9">
                  <c:v>14000</c:v>
                </c:pt>
                <c:pt idx="10">
                  <c:v>14000</c:v>
                </c:pt>
                <c:pt idx="11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47-4AC5-9ABA-D816AE9E25D0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E47-4AC5-9ABA-D816AE9E25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47-4AC5-9ABA-D816AE9E25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E47-4AC5-9ABA-D816AE9E25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E47-4AC5-9ABA-D816AE9E25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E47-4AC5-9ABA-D816AE9E25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E47-4AC5-9ABA-D816AE9E25D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E47-4AC5-9ABA-D816AE9E25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E47-4AC5-9ABA-D816AE9E25D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E47-4AC5-9ABA-D816AE9E25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E47-4AC5-9ABA-D816AE9E25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E47-4AC5-9ABA-D816AE9E25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Graphs!$F$205:$Q$205</c:f>
              <c:numCache>
                <c:formatCode>#,##0</c:formatCode>
                <c:ptCount val="12"/>
                <c:pt idx="0">
                  <c:v>14000</c:v>
                </c:pt>
                <c:pt idx="1">
                  <c:v>14000</c:v>
                </c:pt>
                <c:pt idx="2">
                  <c:v>14000</c:v>
                </c:pt>
                <c:pt idx="3">
                  <c:v>14120</c:v>
                </c:pt>
                <c:pt idx="4">
                  <c:v>14240</c:v>
                </c:pt>
                <c:pt idx="5">
                  <c:v>14360</c:v>
                </c:pt>
                <c:pt idx="6">
                  <c:v>14480</c:v>
                </c:pt>
                <c:pt idx="7">
                  <c:v>14600</c:v>
                </c:pt>
                <c:pt idx="8">
                  <c:v>14720</c:v>
                </c:pt>
                <c:pt idx="9">
                  <c:v>14840</c:v>
                </c:pt>
                <c:pt idx="10">
                  <c:v>14960</c:v>
                </c:pt>
                <c:pt idx="11">
                  <c:v>15080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47-4AC5-9ABA-D816AE9E25D0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Graphs!$F$202:$Q$202</c:f>
              <c:numCache>
                <c:formatCode>#,##0</c:formatCode>
                <c:ptCount val="12"/>
                <c:pt idx="0">
                  <c:v>19720</c:v>
                </c:pt>
                <c:pt idx="1">
                  <c:v>21230</c:v>
                </c:pt>
                <c:pt idx="2">
                  <c:v>19880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E47-4AC5-9ABA-D816AE9E25D0}"/>
            </c:ext>
          </c:extLst>
        </c:ser>
        <c:ser>
          <c:idx val="1"/>
          <c:order val="3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38100">
                <a:noFill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Graphs!$F$203:$Q$203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47-4AC5-9ABA-D816AE9E2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587752121931186E-2"/>
          <c:y val="4.1122917101632461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Graphs!$F$221:$Q$221</c:f>
              <c:numCache>
                <c:formatCode>#,##0</c:formatCode>
                <c:ptCount val="12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27000</c:v>
                </c:pt>
                <c:pt idx="6">
                  <c:v>27000</c:v>
                </c:pt>
                <c:pt idx="7">
                  <c:v>27000</c:v>
                </c:pt>
                <c:pt idx="8">
                  <c:v>27000</c:v>
                </c:pt>
                <c:pt idx="9">
                  <c:v>27000</c:v>
                </c:pt>
                <c:pt idx="10">
                  <c:v>27000</c:v>
                </c:pt>
                <c:pt idx="11">
                  <c:v>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A1-44DE-9DCA-D71DA2F2634D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Graphs!$F$222:$Q$222</c:f>
              <c:numCache>
                <c:formatCode>#,##0</c:formatCode>
                <c:ptCount val="12"/>
                <c:pt idx="0">
                  <c:v>27540</c:v>
                </c:pt>
                <c:pt idx="1">
                  <c:v>27540</c:v>
                </c:pt>
                <c:pt idx="2">
                  <c:v>27540</c:v>
                </c:pt>
                <c:pt idx="3">
                  <c:v>27846</c:v>
                </c:pt>
                <c:pt idx="4">
                  <c:v>28151.999999999996</c:v>
                </c:pt>
                <c:pt idx="5">
                  <c:v>28457.999999999996</c:v>
                </c:pt>
                <c:pt idx="6">
                  <c:v>28764</c:v>
                </c:pt>
                <c:pt idx="7">
                  <c:v>29070</c:v>
                </c:pt>
                <c:pt idx="8">
                  <c:v>29376</c:v>
                </c:pt>
                <c:pt idx="9">
                  <c:v>29682</c:v>
                </c:pt>
                <c:pt idx="10">
                  <c:v>29988</c:v>
                </c:pt>
                <c:pt idx="11">
                  <c:v>30294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9A1-44DE-9DCA-D71DA2F2634D}"/>
            </c:ext>
          </c:extLst>
        </c:ser>
        <c:ser>
          <c:idx val="0"/>
          <c:order val="2"/>
          <c:tx>
            <c:v>2026 Actuals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Graphs!$F$219:$Q$219</c:f>
              <c:numCache>
                <c:formatCode>#,##0</c:formatCode>
                <c:ptCount val="12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9A1-44DE-9DCA-D71DA2F2634D}"/>
            </c:ext>
          </c:extLst>
        </c:ser>
        <c:ser>
          <c:idx val="1"/>
          <c:order val="3"/>
          <c:tx>
            <c:v>2027 Actuals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Graphs!$F$220:$Q$220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9A1-44DE-9DCA-D71DA2F26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###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Graphs!$F$228</c:f>
              <c:strCache>
                <c:ptCount val="1"/>
                <c:pt idx="0">
                  <c:v>2026 Revenue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Graphs!$F$230:$F$232</c:f>
              <c:numCache>
                <c:formatCode>#,##0</c:formatCode>
                <c:ptCount val="3"/>
                <c:pt idx="0">
                  <c:v>7224900000</c:v>
                </c:pt>
                <c:pt idx="1">
                  <c:v>6531900000</c:v>
                </c:pt>
                <c:pt idx="2">
                  <c:v>5670900000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7-4224-8438-9D7FFB06EE68}"/>
            </c:ext>
          </c:extLst>
        </c:ser>
        <c:ser>
          <c:idx val="1"/>
          <c:order val="1"/>
          <c:tx>
            <c:strRef>
              <c:f>Graphs!$G$228</c:f>
              <c:strCache>
                <c:ptCount val="1"/>
                <c:pt idx="0">
                  <c:v>2027 Revenue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Graphs!$G$230:$G$232</c:f>
              <c:numCache>
                <c:formatCode>#,##0</c:formatCode>
                <c:ptCount val="3"/>
                <c:pt idx="0">
                  <c:v>7344000000</c:v>
                </c:pt>
                <c:pt idx="1">
                  <c:v>6666516000</c:v>
                </c:pt>
                <c:pt idx="2">
                  <c:v>4978681200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7-4224-8438-9D7FFB06E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734368"/>
        <c:axId val="220479856"/>
      </c:barChart>
      <c:catAx>
        <c:axId val="3267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79856"/>
        <c:crosses val="autoZero"/>
        <c:auto val="1"/>
        <c:lblAlgn val="ctr"/>
        <c:lblOffset val="100"/>
        <c:noMultiLvlLbl val="0"/>
      </c:catAx>
      <c:valAx>
        <c:axId val="2204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Graphs!$F$238</c:f>
              <c:strCache>
                <c:ptCount val="1"/>
                <c:pt idx="0">
                  <c:v>2026 Operating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3C-4162-99BD-1C7F900E258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3C-4207-9877-6AFA4FC6427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3C-4207-9877-6AFA4FC64276}"/>
              </c:ext>
            </c:extLst>
          </c:dPt>
          <c:cat>
            <c:strRef>
              <c:f>Graphs!$C$240:$C$242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Graphs!$F$240:$F$242</c:f>
              <c:numCache>
                <c:formatCode>#,##0</c:formatCode>
                <c:ptCount val="3"/>
                <c:pt idx="0">
                  <c:v>707254354.74000001</c:v>
                </c:pt>
                <c:pt idx="1">
                  <c:v>360731121.06999999</c:v>
                </c:pt>
                <c:pt idx="2">
                  <c:v>-40173744.289999999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3C-4162-99BD-1C7F900E258A}"/>
            </c:ext>
          </c:extLst>
        </c:ser>
        <c:ser>
          <c:idx val="1"/>
          <c:order val="1"/>
          <c:tx>
            <c:strRef>
              <c:f>Graphs!$G$238</c:f>
              <c:strCache>
                <c:ptCount val="1"/>
                <c:pt idx="0">
                  <c:v>2027 Operating Profit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Graphs!$C$240:$C$242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Graphs!$G$240:$G$242</c:f>
              <c:numCache>
                <c:formatCode>#,##0</c:formatCode>
                <c:ptCount val="3"/>
                <c:pt idx="0">
                  <c:v>521014336.87</c:v>
                </c:pt>
                <c:pt idx="1">
                  <c:v>250408682.16999999</c:v>
                </c:pt>
                <c:pt idx="2">
                  <c:v>-508650595.06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C-4162-99BD-1C7F900E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734368"/>
        <c:axId val="220479856"/>
      </c:barChart>
      <c:catAx>
        <c:axId val="3267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79856"/>
        <c:crosses val="autoZero"/>
        <c:auto val="1"/>
        <c:lblAlgn val="ctr"/>
        <c:lblOffset val="100"/>
        <c:noMultiLvlLbl val="0"/>
      </c:catAx>
      <c:valAx>
        <c:axId val="2204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plotArea>
      <cx:plotAreaRegion>
        <cx:series layoutId="waterfall" uniqueId="{00000000-5B57-4CD4-90E2-D8F85F4F4F1F}">
          <cx:spPr>
            <a:solidFill>
              <a:schemeClr val="tx2">
                <a:lumMod val="75000"/>
                <a:lumOff val="25000"/>
              </a:schemeClr>
            </a:solidFill>
          </cx:spPr>
          <cx:dataPt idx="0">
            <cx:spPr>
              <a:solidFill>
                <a:srgbClr val="156082">
                  <a:lumMod val="75000"/>
                </a:srgbClr>
              </a:solidFill>
            </cx:spPr>
          </cx:dataPt>
          <cx:dataPt idx="1">
            <cx:spPr>
              <a:solidFill>
                <a:srgbClr val="E8E8E8">
                  <a:lumMod val="75000"/>
                </a:srgbClr>
              </a:solidFill>
            </cx:spPr>
          </cx:dataPt>
          <cx:dataPt idx="2">
            <cx:spPr>
              <a:solidFill>
                <a:srgbClr val="E8E8E8">
                  <a:lumMod val="75000"/>
                </a:srgbClr>
              </a:solidFill>
            </cx:spPr>
          </cx:dataPt>
          <cx:dataPt idx="3">
            <cx:spPr>
              <a:solidFill>
                <a:srgbClr val="156082">
                  <a:lumMod val="75000"/>
                </a:srgb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  <cx:numFmt formatCode="£0,,&quot;m&quot;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fmtOvrs>
    <cx:fmtOvr idx="1">
      <cx:spPr>
        <a:solidFill>
          <a:schemeClr val="bg2">
            <a:lumMod val="75000"/>
          </a:schemeClr>
        </a:solidFill>
      </cx:spPr>
    </cx:fmtOvr>
    <cx:fmtOvr idx="0">
      <cx:spPr>
        <a:solidFill>
          <a:schemeClr val="accent1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plotArea>
      <cx:plotAreaRegion>
        <cx:series layoutId="waterfall" uniqueId="{00000000-5B57-4CD4-90E2-D8F85F4F4F1F}">
          <cx:tx>
            <cx:txData>
              <cx:f/>
              <cx:v>Values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</cx:spPr>
          <cx:dataPt idx="0">
            <cx:spPr>
              <a:solidFill>
                <a:srgbClr val="156082">
                  <a:lumMod val="75000"/>
                </a:srgbClr>
              </a:solidFill>
            </cx:spPr>
          </cx:dataPt>
          <cx:dataPt idx="1">
            <cx:spPr>
              <a:solidFill>
                <a:srgbClr val="E8E8E8">
                  <a:lumMod val="75000"/>
                </a:srgbClr>
              </a:solidFill>
            </cx:spPr>
          </cx:dataPt>
          <cx:dataPt idx="2">
            <cx:spPr>
              <a:solidFill>
                <a:srgbClr val="E8E8E8">
                  <a:lumMod val="75000"/>
                </a:srgbClr>
              </a:solidFill>
            </cx:spPr>
          </cx:dataPt>
          <cx:dataPt idx="3">
            <cx:spPr>
              <a:solidFill>
                <a:srgbClr val="156082">
                  <a:lumMod val="75000"/>
                </a:srgbClr>
              </a:solidFill>
            </cx:spPr>
          </cx:dataPt>
          <cx:dataLabels pos="outEnd">
            <cx:visibility seriesName="0" categoryName="0" value="1"/>
            <cx:dataLabel idx="3" pos="ctr">
              <cx:separator>, </cx:separator>
            </cx:dataLabel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  <cx:numFmt formatCode="£0,,&quot;m&quot;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fmtOvrs>
    <cx:fmtOvr idx="1">
      <cx:spPr>
        <a:solidFill>
          <a:schemeClr val="bg2">
            <a:lumMod val="75000"/>
          </a:schemeClr>
        </a:solidFill>
      </cx:spPr>
    </cx:fmtOvr>
    <cx:fmtOvr idx="0">
      <cx:spPr>
        <a:solidFill>
          <a:schemeClr val="accent1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19</xdr:row>
      <xdr:rowOff>76200</xdr:rowOff>
    </xdr:from>
    <xdr:to>
      <xdr:col>10</xdr:col>
      <xdr:colOff>228601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750BB-4DEA-4425-B5F5-ED703B176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19</xdr:row>
      <xdr:rowOff>66675</xdr:rowOff>
    </xdr:from>
    <xdr:to>
      <xdr:col>20</xdr:col>
      <xdr:colOff>561975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02E6E-114E-49D4-874F-471432D84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43</xdr:row>
      <xdr:rowOff>66675</xdr:rowOff>
    </xdr:from>
    <xdr:to>
      <xdr:col>10</xdr:col>
      <xdr:colOff>257175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B24D6-7A15-48EA-9DA9-4165DC3AE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523875</xdr:colOff>
      <xdr:row>43</xdr:row>
      <xdr:rowOff>76200</xdr:rowOff>
    </xdr:from>
    <xdr:to>
      <xdr:col>20</xdr:col>
      <xdr:colOff>571500</xdr:colOff>
      <xdr:row>60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A797C2-BDE9-45A0-8BE3-C07D6DDCA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57151</xdr:colOff>
      <xdr:row>5</xdr:row>
      <xdr:rowOff>90486</xdr:rowOff>
    </xdr:from>
    <xdr:to>
      <xdr:col>9</xdr:col>
      <xdr:colOff>1076326</xdr:colOff>
      <xdr:row>26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AC886-5254-9418-F9DC-803A8A751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37110</xdr:colOff>
      <xdr:row>5</xdr:row>
      <xdr:rowOff>86590</xdr:rowOff>
    </xdr:from>
    <xdr:to>
      <xdr:col>19</xdr:col>
      <xdr:colOff>600075</xdr:colOff>
      <xdr:row>26</xdr:row>
      <xdr:rowOff>74221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702BA8-A639-44AD-9323-1AC194B5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61851</xdr:colOff>
      <xdr:row>32</xdr:row>
      <xdr:rowOff>98961</xdr:rowOff>
    </xdr:from>
    <xdr:to>
      <xdr:col>9</xdr:col>
      <xdr:colOff>1076326</xdr:colOff>
      <xdr:row>53</xdr:row>
      <xdr:rowOff>111329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0C8D07-FA6B-4C29-9BBA-4CA98BF20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32</xdr:row>
      <xdr:rowOff>74221</xdr:rowOff>
    </xdr:from>
    <xdr:to>
      <xdr:col>19</xdr:col>
      <xdr:colOff>590550</xdr:colOff>
      <xdr:row>53</xdr:row>
      <xdr:rowOff>61851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6D4859-4F79-424F-B39D-D2083CFF1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</xdr:colOff>
      <xdr:row>59</xdr:row>
      <xdr:rowOff>74222</xdr:rowOff>
    </xdr:from>
    <xdr:to>
      <xdr:col>9</xdr:col>
      <xdr:colOff>1009650</xdr:colOff>
      <xdr:row>77</xdr:row>
      <xdr:rowOff>66676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1EA865-7DBA-4577-B61E-C3EF19643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19049</xdr:colOff>
      <xdr:row>59</xdr:row>
      <xdr:rowOff>85725</xdr:rowOff>
    </xdr:from>
    <xdr:to>
      <xdr:col>18</xdr:col>
      <xdr:colOff>276225</xdr:colOff>
      <xdr:row>77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5D9B3E-3E0B-ABE8-2B73-AB49347D8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9524</xdr:colOff>
      <xdr:row>83</xdr:row>
      <xdr:rowOff>57150</xdr:rowOff>
    </xdr:from>
    <xdr:to>
      <xdr:col>9</xdr:col>
      <xdr:colOff>1057275</xdr:colOff>
      <xdr:row>101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0F8247-D052-4384-924A-20ED13633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1076324</xdr:colOff>
      <xdr:row>83</xdr:row>
      <xdr:rowOff>61911</xdr:rowOff>
    </xdr:from>
    <xdr:to>
      <xdr:col>19</xdr:col>
      <xdr:colOff>590549</xdr:colOff>
      <xdr:row>101</xdr:row>
      <xdr:rowOff>47624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AE3C437-4EAA-8D0C-6C84-7C63894ED8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4699" y="17702211"/>
              <a:ext cx="7248525" cy="3757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9525</xdr:colOff>
      <xdr:row>106</xdr:row>
      <xdr:rowOff>95250</xdr:rowOff>
    </xdr:from>
    <xdr:to>
      <xdr:col>9</xdr:col>
      <xdr:colOff>1066800</xdr:colOff>
      <xdr:row>124</xdr:row>
      <xdr:rowOff>80963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3B7FF33-2903-4B37-A917-0B65C990C8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22631400"/>
              <a:ext cx="8067675" cy="3757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basish Mishra" id="{B387868C-81FE-4317-A184-D5DE5450C68D}" userId="e110b56627d8b23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8" dT="2026-07-31T09:47:26.01" personId="{B387868C-81FE-4317-A184-D5DE5450C68D}" id="{1FC3E520-AA6D-400E-91A7-D74C3CBF9B71}">
    <text xml:space="preserve">Scenario shock periods are fixed within the forecast model; dates shown are for reference only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C20F-9A12-4820-9862-04234F330FDB}">
  <dimension ref="B1:U62"/>
  <sheetViews>
    <sheetView tabSelected="1" workbookViewId="0"/>
  </sheetViews>
  <sheetFormatPr defaultRowHeight="15" x14ac:dyDescent="0.25"/>
  <cols>
    <col min="1" max="2" width="9.140625" style="1"/>
    <col min="3" max="3" width="22.28515625" style="1" bestFit="1" customWidth="1"/>
    <col min="4" max="4" width="9.140625" style="1"/>
    <col min="5" max="5" width="14.85546875" style="1" bestFit="1" customWidth="1"/>
    <col min="6" max="17" width="9.140625" style="1"/>
    <col min="18" max="18" width="9.7109375" style="1" customWidth="1"/>
    <col min="19" max="19" width="14.42578125" style="1" bestFit="1" customWidth="1"/>
    <col min="20" max="16384" width="9.140625" style="1"/>
  </cols>
  <sheetData>
    <row r="1" spans="2:21" ht="15.75" thickBot="1" x14ac:dyDescent="0.3"/>
    <row r="2" spans="2:21" x14ac:dyDescent="0.25">
      <c r="B2" s="257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9"/>
      <c r="Q2" s="259"/>
      <c r="R2" s="259"/>
      <c r="S2" s="259"/>
      <c r="T2" s="260"/>
      <c r="U2" s="261"/>
    </row>
    <row r="3" spans="2:21" ht="22.5" x14ac:dyDescent="0.4">
      <c r="B3" s="290" t="s">
        <v>124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3" t="s">
        <v>132</v>
      </c>
      <c r="Q3" s="264"/>
      <c r="R3" s="264"/>
      <c r="S3" s="263" t="str">
        <f>IF(Forecast_Model!D5=1,Assumptions!C37,IF(Forecast_Model!D5=2,Assumptions!C38,IF(Forecast_Model!D5=3,Assumptions!C39,0)))</f>
        <v>Severe</v>
      </c>
      <c r="T3" s="136"/>
      <c r="U3" s="265"/>
    </row>
    <row r="4" spans="2:21" x14ac:dyDescent="0.25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136"/>
      <c r="Q4" s="136"/>
      <c r="R4" s="136"/>
      <c r="S4" s="136"/>
      <c r="T4" s="136"/>
      <c r="U4" s="265"/>
    </row>
    <row r="5" spans="2:21" x14ac:dyDescent="0.25">
      <c r="B5" s="268" t="s">
        <v>125</v>
      </c>
      <c r="C5" s="269"/>
      <c r="D5" s="269"/>
      <c r="U5" s="270"/>
    </row>
    <row r="6" spans="2:21" x14ac:dyDescent="0.25">
      <c r="B6" s="271"/>
      <c r="U6" s="270"/>
    </row>
    <row r="7" spans="2:21" ht="22.5" x14ac:dyDescent="0.4">
      <c r="B7" s="289" t="s">
        <v>126</v>
      </c>
      <c r="C7" s="51"/>
      <c r="D7" s="51"/>
      <c r="E7" s="51"/>
      <c r="F7" s="51"/>
      <c r="G7" s="50"/>
      <c r="H7" s="51"/>
      <c r="I7" s="51"/>
      <c r="J7" s="51"/>
      <c r="K7" s="50"/>
      <c r="L7" s="51"/>
      <c r="M7" s="51"/>
      <c r="N7" s="51"/>
      <c r="O7" s="51"/>
      <c r="P7" s="51"/>
      <c r="Q7" s="51"/>
      <c r="R7" s="51"/>
      <c r="S7" s="50"/>
      <c r="T7" s="136"/>
      <c r="U7" s="265"/>
    </row>
    <row r="8" spans="2:21" x14ac:dyDescent="0.25">
      <c r="B8" s="272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</row>
    <row r="9" spans="2:21" x14ac:dyDescent="0.25">
      <c r="B9" s="275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4"/>
    </row>
    <row r="10" spans="2:21" ht="18" x14ac:dyDescent="0.35">
      <c r="B10" s="272"/>
      <c r="C10" s="276" t="s">
        <v>127</v>
      </c>
      <c r="D10" s="276"/>
      <c r="E10" s="276" t="s">
        <v>128</v>
      </c>
      <c r="F10" s="276"/>
      <c r="G10" s="276"/>
      <c r="H10" s="276" t="s">
        <v>129</v>
      </c>
      <c r="I10" s="276"/>
      <c r="J10" s="276"/>
      <c r="K10" s="276"/>
      <c r="L10" s="276" t="s">
        <v>130</v>
      </c>
      <c r="M10" s="276"/>
      <c r="N10" s="276"/>
      <c r="O10" s="276"/>
      <c r="P10" s="277" t="s">
        <v>111</v>
      </c>
      <c r="Q10" s="277"/>
      <c r="R10" s="276"/>
      <c r="S10" s="276" t="s">
        <v>131</v>
      </c>
      <c r="T10" s="276"/>
      <c r="U10" s="278"/>
    </row>
    <row r="11" spans="2:21" x14ac:dyDescent="0.25">
      <c r="B11" s="272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4"/>
    </row>
    <row r="12" spans="2:21" x14ac:dyDescent="0.25">
      <c r="B12" s="272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4"/>
    </row>
    <row r="13" spans="2:21" x14ac:dyDescent="0.25">
      <c r="B13" s="272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4"/>
    </row>
    <row r="14" spans="2:21" ht="18" x14ac:dyDescent="0.35">
      <c r="B14" s="272"/>
      <c r="C14" s="295">
        <f>SUM(Forecast_Model!E32:AB32)</f>
        <v>10649581200</v>
      </c>
      <c r="D14" s="279"/>
      <c r="E14" s="292">
        <f>SUM(Forecast_Model!E36:AB36)</f>
        <v>-548824339.35020041</v>
      </c>
      <c r="F14" s="280"/>
      <c r="G14" s="273"/>
      <c r="H14" s="293">
        <f>E14/C14</f>
        <v>-5.1534828369607662E-2</v>
      </c>
      <c r="I14" s="293"/>
      <c r="J14" s="281"/>
      <c r="K14" s="282"/>
      <c r="L14" s="282"/>
      <c r="M14" s="294">
        <f>(SUM(Forecast_Model!E32:AB32)-SUM(Forecast_Model!E30:AB30))/SUM(Forecast_Model!E32:AB32)</f>
        <v>0.3194568481265973</v>
      </c>
      <c r="N14" s="282"/>
      <c r="O14" s="282"/>
      <c r="P14" s="283">
        <f>SUM(Forecast_Model!E19:AB19)</f>
        <v>372230</v>
      </c>
      <c r="Q14" s="280"/>
      <c r="R14" s="282"/>
      <c r="S14" s="291">
        <f>SUM(Forecast_Model!E32:AB32)/SUM(Forecast_Model!E19:AB19)</f>
        <v>28610.217338742175</v>
      </c>
      <c r="T14" s="282"/>
      <c r="U14" s="284"/>
    </row>
    <row r="15" spans="2:21" x14ac:dyDescent="0.25">
      <c r="B15" s="272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4"/>
    </row>
    <row r="16" spans="2:21" x14ac:dyDescent="0.25">
      <c r="B16" s="271"/>
      <c r="U16" s="270"/>
    </row>
    <row r="17" spans="2:21" ht="22.5" x14ac:dyDescent="0.4">
      <c r="B17" s="289" t="s">
        <v>133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285"/>
    </row>
    <row r="18" spans="2:21" x14ac:dyDescent="0.25">
      <c r="B18" s="271"/>
      <c r="U18" s="270"/>
    </row>
    <row r="19" spans="2:21" ht="18" x14ac:dyDescent="0.35">
      <c r="B19" s="271"/>
      <c r="E19" s="204" t="s">
        <v>134</v>
      </c>
      <c r="P19" s="204" t="s">
        <v>135</v>
      </c>
      <c r="U19" s="270"/>
    </row>
    <row r="20" spans="2:21" x14ac:dyDescent="0.25">
      <c r="B20" s="271"/>
      <c r="U20" s="270"/>
    </row>
    <row r="21" spans="2:21" x14ac:dyDescent="0.25">
      <c r="B21" s="271"/>
      <c r="U21" s="270"/>
    </row>
    <row r="22" spans="2:21" x14ac:dyDescent="0.25">
      <c r="B22" s="271"/>
      <c r="U22" s="270"/>
    </row>
    <row r="23" spans="2:21" x14ac:dyDescent="0.25">
      <c r="B23" s="271"/>
      <c r="U23" s="270"/>
    </row>
    <row r="24" spans="2:21" x14ac:dyDescent="0.25">
      <c r="B24" s="271"/>
      <c r="U24" s="270"/>
    </row>
    <row r="25" spans="2:21" x14ac:dyDescent="0.25">
      <c r="B25" s="271"/>
      <c r="U25" s="270"/>
    </row>
    <row r="26" spans="2:21" x14ac:dyDescent="0.25">
      <c r="B26" s="271"/>
      <c r="U26" s="270"/>
    </row>
    <row r="27" spans="2:21" x14ac:dyDescent="0.25">
      <c r="B27" s="271"/>
      <c r="U27" s="270"/>
    </row>
    <row r="28" spans="2:21" x14ac:dyDescent="0.25">
      <c r="B28" s="271"/>
      <c r="U28" s="270"/>
    </row>
    <row r="29" spans="2:21" x14ac:dyDescent="0.25">
      <c r="B29" s="271"/>
      <c r="U29" s="270"/>
    </row>
    <row r="30" spans="2:21" x14ac:dyDescent="0.25">
      <c r="B30" s="271"/>
      <c r="U30" s="270"/>
    </row>
    <row r="31" spans="2:21" x14ac:dyDescent="0.25">
      <c r="B31" s="271"/>
      <c r="U31" s="270"/>
    </row>
    <row r="32" spans="2:21" x14ac:dyDescent="0.25">
      <c r="B32" s="271"/>
      <c r="U32" s="270"/>
    </row>
    <row r="33" spans="2:21" x14ac:dyDescent="0.25">
      <c r="B33" s="271"/>
      <c r="U33" s="270"/>
    </row>
    <row r="34" spans="2:21" x14ac:dyDescent="0.25">
      <c r="B34" s="271"/>
      <c r="U34" s="270"/>
    </row>
    <row r="35" spans="2:21" x14ac:dyDescent="0.25">
      <c r="B35" s="271"/>
      <c r="U35" s="270"/>
    </row>
    <row r="36" spans="2:21" x14ac:dyDescent="0.25">
      <c r="B36" s="271"/>
      <c r="U36" s="270"/>
    </row>
    <row r="37" spans="2:21" x14ac:dyDescent="0.25">
      <c r="B37" s="271"/>
      <c r="U37" s="270"/>
    </row>
    <row r="38" spans="2:21" x14ac:dyDescent="0.25">
      <c r="B38" s="271"/>
      <c r="U38" s="270"/>
    </row>
    <row r="39" spans="2:21" x14ac:dyDescent="0.25">
      <c r="B39" s="271"/>
      <c r="U39" s="270"/>
    </row>
    <row r="40" spans="2:21" x14ac:dyDescent="0.25">
      <c r="B40" s="271"/>
      <c r="U40" s="270"/>
    </row>
    <row r="41" spans="2:21" ht="22.5" x14ac:dyDescent="0.4">
      <c r="B41" s="289" t="s">
        <v>136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285"/>
    </row>
    <row r="42" spans="2:21" x14ac:dyDescent="0.25">
      <c r="B42" s="271"/>
      <c r="U42" s="270"/>
    </row>
    <row r="43" spans="2:21" ht="18" x14ac:dyDescent="0.35">
      <c r="B43" s="271"/>
      <c r="E43" s="204" t="s">
        <v>87</v>
      </c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 t="s">
        <v>137</v>
      </c>
      <c r="Q43" s="204"/>
      <c r="U43" s="270"/>
    </row>
    <row r="44" spans="2:21" x14ac:dyDescent="0.25">
      <c r="B44" s="271"/>
      <c r="U44" s="270"/>
    </row>
    <row r="45" spans="2:21" x14ac:dyDescent="0.25">
      <c r="B45" s="271"/>
      <c r="U45" s="270"/>
    </row>
    <row r="46" spans="2:21" x14ac:dyDescent="0.25">
      <c r="B46" s="271"/>
      <c r="U46" s="270"/>
    </row>
    <row r="47" spans="2:21" x14ac:dyDescent="0.25">
      <c r="B47" s="271"/>
      <c r="U47" s="270"/>
    </row>
    <row r="48" spans="2:21" x14ac:dyDescent="0.25">
      <c r="B48" s="271"/>
      <c r="U48" s="270"/>
    </row>
    <row r="49" spans="2:21" x14ac:dyDescent="0.25">
      <c r="B49" s="271"/>
      <c r="U49" s="270"/>
    </row>
    <row r="50" spans="2:21" x14ac:dyDescent="0.25">
      <c r="B50" s="271"/>
      <c r="U50" s="270"/>
    </row>
    <row r="51" spans="2:21" x14ac:dyDescent="0.25">
      <c r="B51" s="271"/>
      <c r="U51" s="270"/>
    </row>
    <row r="52" spans="2:21" x14ac:dyDescent="0.25">
      <c r="B52" s="271"/>
      <c r="U52" s="270"/>
    </row>
    <row r="53" spans="2:21" x14ac:dyDescent="0.25">
      <c r="B53" s="271"/>
      <c r="U53" s="270"/>
    </row>
    <row r="54" spans="2:21" x14ac:dyDescent="0.25">
      <c r="B54" s="271"/>
      <c r="U54" s="270"/>
    </row>
    <row r="55" spans="2:21" x14ac:dyDescent="0.25">
      <c r="B55" s="271"/>
      <c r="U55" s="270"/>
    </row>
    <row r="56" spans="2:21" x14ac:dyDescent="0.25">
      <c r="B56" s="271"/>
      <c r="U56" s="270"/>
    </row>
    <row r="57" spans="2:21" x14ac:dyDescent="0.25">
      <c r="B57" s="271"/>
      <c r="U57" s="270"/>
    </row>
    <row r="58" spans="2:21" x14ac:dyDescent="0.25">
      <c r="B58" s="271"/>
      <c r="U58" s="270"/>
    </row>
    <row r="59" spans="2:21" x14ac:dyDescent="0.25">
      <c r="B59" s="271"/>
      <c r="U59" s="270"/>
    </row>
    <row r="60" spans="2:21" x14ac:dyDescent="0.25">
      <c r="B60" s="271"/>
      <c r="U60" s="270"/>
    </row>
    <row r="61" spans="2:21" x14ac:dyDescent="0.25">
      <c r="B61" s="271"/>
      <c r="U61" s="270"/>
    </row>
    <row r="62" spans="2:21" ht="15.75" thickBot="1" x14ac:dyDescent="0.3">
      <c r="B62" s="286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3ACB-4CCE-4356-9D38-EC68FB6EDAA3}">
  <dimension ref="B2:E43"/>
  <sheetViews>
    <sheetView zoomScale="85" zoomScaleNormal="85" workbookViewId="0"/>
  </sheetViews>
  <sheetFormatPr defaultRowHeight="15" x14ac:dyDescent="0.25"/>
  <cols>
    <col min="1" max="1" width="5.140625" style="1" customWidth="1"/>
    <col min="2" max="2" width="32.7109375" style="1" bestFit="1" customWidth="1"/>
    <col min="3" max="3" width="21.7109375" style="1" bestFit="1" customWidth="1"/>
    <col min="4" max="4" width="23.7109375" style="1" customWidth="1"/>
    <col min="5" max="5" width="21.28515625" style="1" customWidth="1"/>
    <col min="6" max="9" width="9.140625" style="1"/>
    <col min="10" max="10" width="26.7109375" style="1" customWidth="1"/>
    <col min="11" max="16384" width="9.140625" style="1"/>
  </cols>
  <sheetData>
    <row r="2" spans="2:5" ht="22.5" x14ac:dyDescent="0.4">
      <c r="B2" s="50" t="s">
        <v>21</v>
      </c>
      <c r="C2" s="51"/>
      <c r="D2" s="51"/>
      <c r="E2" s="51"/>
    </row>
    <row r="3" spans="2:5" ht="15.75" customHeight="1" x14ac:dyDescent="0.4">
      <c r="B3" s="73"/>
      <c r="C3" s="5"/>
      <c r="D3" s="5"/>
      <c r="E3" s="5"/>
    </row>
    <row r="4" spans="2:5" ht="15.75" customHeight="1" x14ac:dyDescent="0.4">
      <c r="B4" s="73"/>
      <c r="C4" s="5"/>
      <c r="D4" s="5"/>
      <c r="E4" s="5"/>
    </row>
    <row r="5" spans="2:5" ht="15.75" customHeight="1" x14ac:dyDescent="0.4">
      <c r="B5" s="74"/>
      <c r="C5" s="75"/>
      <c r="D5" s="75"/>
      <c r="E5" s="75"/>
    </row>
    <row r="6" spans="2:5" ht="15.75" x14ac:dyDescent="0.3">
      <c r="B6" s="5" t="s">
        <v>28</v>
      </c>
      <c r="C6" s="11">
        <v>20000</v>
      </c>
      <c r="D6" s="5"/>
      <c r="E6" s="5"/>
    </row>
    <row r="7" spans="2:5" ht="15.75" x14ac:dyDescent="0.3">
      <c r="B7" s="5" t="s">
        <v>0</v>
      </c>
      <c r="C7" s="11">
        <v>30000</v>
      </c>
      <c r="D7" s="5"/>
      <c r="E7" s="5"/>
    </row>
    <row r="8" spans="2:5" ht="15.75" x14ac:dyDescent="0.3">
      <c r="B8" s="5"/>
      <c r="C8" s="11"/>
      <c r="D8" s="5"/>
      <c r="E8" s="5"/>
    </row>
    <row r="9" spans="2:5" ht="15.75" x14ac:dyDescent="0.3">
      <c r="B9" s="5" t="s">
        <v>1</v>
      </c>
      <c r="C9" s="11">
        <v>16500</v>
      </c>
      <c r="D9" s="5"/>
      <c r="E9" s="5"/>
    </row>
    <row r="10" spans="2:5" ht="15.75" x14ac:dyDescent="0.3">
      <c r="B10" s="5" t="s">
        <v>2</v>
      </c>
      <c r="C10" s="11">
        <v>750</v>
      </c>
      <c r="D10" s="5"/>
      <c r="E10" s="5"/>
    </row>
    <row r="11" spans="2:5" ht="15.75" x14ac:dyDescent="0.3">
      <c r="B11" s="5" t="s">
        <v>3</v>
      </c>
      <c r="C11" s="11">
        <v>1250</v>
      </c>
      <c r="D11" s="5"/>
      <c r="E11" s="5"/>
    </row>
    <row r="12" spans="2:5" ht="15.75" x14ac:dyDescent="0.3">
      <c r="B12" s="5"/>
      <c r="C12" s="11"/>
      <c r="D12" s="5"/>
      <c r="E12" s="5"/>
    </row>
    <row r="13" spans="2:5" ht="15.75" x14ac:dyDescent="0.3">
      <c r="B13" s="75" t="s">
        <v>4</v>
      </c>
      <c r="C13" s="42">
        <v>160000000</v>
      </c>
      <c r="D13" s="75"/>
      <c r="E13" s="75"/>
    </row>
    <row r="14" spans="2:5" ht="15.75" x14ac:dyDescent="0.3">
      <c r="B14" s="5"/>
      <c r="C14" s="5"/>
      <c r="D14" s="5"/>
      <c r="E14" s="5"/>
    </row>
    <row r="15" spans="2:5" ht="18.75" thickBot="1" x14ac:dyDescent="0.4">
      <c r="B15" s="237" t="s">
        <v>25</v>
      </c>
      <c r="C15" s="238" t="s">
        <v>26</v>
      </c>
      <c r="D15" s="238" t="s">
        <v>27</v>
      </c>
      <c r="E15" s="238" t="s">
        <v>30</v>
      </c>
    </row>
    <row r="16" spans="2:5" ht="15.75" x14ac:dyDescent="0.3">
      <c r="B16" s="5" t="s">
        <v>22</v>
      </c>
      <c r="C16" s="13">
        <v>0.06</v>
      </c>
      <c r="D16" s="13">
        <f>(1+C16)^(1/12)-1</f>
        <v>4.8675505653430484E-3</v>
      </c>
      <c r="E16" s="13">
        <f>(1+$C16)^(1/4)-1</f>
        <v>1.4673846168659299E-2</v>
      </c>
    </row>
    <row r="17" spans="2:5" ht="15.75" x14ac:dyDescent="0.3">
      <c r="B17" s="5" t="s">
        <v>23</v>
      </c>
      <c r="C17" s="13">
        <v>0.05</v>
      </c>
      <c r="D17" s="13">
        <f>(1+C17)^(1/12)-1</f>
        <v>4.0741237836483535E-3</v>
      </c>
      <c r="E17" s="13">
        <f>(1+$C17)^(1/4)-1</f>
        <v>1.2272234429039353E-2</v>
      </c>
    </row>
    <row r="18" spans="2:5" ht="15.75" x14ac:dyDescent="0.3">
      <c r="B18" s="5" t="s">
        <v>24</v>
      </c>
      <c r="C18" s="13">
        <v>0.03</v>
      </c>
      <c r="D18" s="13">
        <f>(1+C18)^(1/12)-1</f>
        <v>2.4662697723036864E-3</v>
      </c>
      <c r="E18" s="13">
        <f>(1+$C18)^(1/4)-1</f>
        <v>7.4170717777328754E-3</v>
      </c>
    </row>
    <row r="19" spans="2:5" ht="15.75" x14ac:dyDescent="0.3">
      <c r="B19" s="5" t="s">
        <v>29</v>
      </c>
      <c r="C19" s="13">
        <v>0.02</v>
      </c>
      <c r="D19" s="13">
        <f>(1+C19)^(1/12)-1</f>
        <v>1.6515813019202241E-3</v>
      </c>
      <c r="E19" s="13">
        <f>(1+$C19)^(1/4)-1</f>
        <v>4.9629315732038215E-3</v>
      </c>
    </row>
    <row r="20" spans="2:5" ht="15.75" x14ac:dyDescent="0.3">
      <c r="B20" s="5" t="s">
        <v>72</v>
      </c>
      <c r="C20" s="13">
        <v>0.03</v>
      </c>
      <c r="D20" s="13">
        <f>(1+C20)^(1/12)-1</f>
        <v>2.4662697723036864E-3</v>
      </c>
      <c r="E20" s="13">
        <f>(1+$C20)^(1/4)-1</f>
        <v>7.4170717777328754E-3</v>
      </c>
    </row>
    <row r="21" spans="2:5" ht="15.75" x14ac:dyDescent="0.3">
      <c r="B21" s="5"/>
      <c r="C21" s="13"/>
      <c r="D21" s="13"/>
      <c r="E21" s="13"/>
    </row>
    <row r="22" spans="2:5" ht="15.75" x14ac:dyDescent="0.3">
      <c r="B22" s="75"/>
      <c r="C22" s="239"/>
      <c r="D22" s="239"/>
      <c r="E22" s="239"/>
    </row>
    <row r="23" spans="2:5" ht="15.75" x14ac:dyDescent="0.3">
      <c r="B23" s="5"/>
      <c r="C23" s="13"/>
      <c r="D23" s="13"/>
      <c r="E23" s="13"/>
    </row>
    <row r="24" spans="2:5" ht="18.75" thickBot="1" x14ac:dyDescent="0.4">
      <c r="B24" s="237" t="s">
        <v>118</v>
      </c>
      <c r="C24" s="237"/>
      <c r="D24" s="237" t="s">
        <v>50</v>
      </c>
      <c r="E24" s="237" t="s">
        <v>51</v>
      </c>
    </row>
    <row r="25" spans="2:5" ht="6" customHeight="1" x14ac:dyDescent="0.35">
      <c r="B25" s="240"/>
      <c r="C25" s="240"/>
      <c r="D25" s="240"/>
      <c r="E25" s="240"/>
    </row>
    <row r="26" spans="2:5" ht="15.75" x14ac:dyDescent="0.3">
      <c r="B26" s="5" t="s">
        <v>112</v>
      </c>
      <c r="C26" s="13"/>
      <c r="D26" s="110">
        <v>-0.15</v>
      </c>
      <c r="E26" s="110">
        <v>-0.3</v>
      </c>
    </row>
    <row r="27" spans="2:5" ht="15.75" x14ac:dyDescent="0.3">
      <c r="B27" s="5" t="s">
        <v>113</v>
      </c>
      <c r="C27" s="13"/>
      <c r="D27" s="110">
        <v>-0.05</v>
      </c>
      <c r="E27" s="110">
        <v>-0.1</v>
      </c>
    </row>
    <row r="28" spans="2:5" ht="15.75" x14ac:dyDescent="0.3">
      <c r="B28" s="5" t="s">
        <v>114</v>
      </c>
      <c r="C28" s="13"/>
      <c r="D28" s="241">
        <v>46204</v>
      </c>
      <c r="E28" s="241">
        <v>46174</v>
      </c>
    </row>
    <row r="29" spans="2:5" ht="15.75" x14ac:dyDescent="0.3">
      <c r="B29" s="5" t="s">
        <v>115</v>
      </c>
      <c r="C29" s="13"/>
      <c r="D29" s="241">
        <v>46357</v>
      </c>
      <c r="E29" s="241">
        <v>46447</v>
      </c>
    </row>
    <row r="30" spans="2:5" ht="15.75" x14ac:dyDescent="0.3">
      <c r="B30" s="5" t="s">
        <v>116</v>
      </c>
      <c r="C30" s="13"/>
      <c r="D30" s="242">
        <v>0.01</v>
      </c>
      <c r="E30" s="243">
        <v>6.0000000000000001E-3</v>
      </c>
    </row>
    <row r="31" spans="2:5" ht="15.75" x14ac:dyDescent="0.3">
      <c r="B31" s="5" t="s">
        <v>117</v>
      </c>
      <c r="C31" s="13"/>
      <c r="D31" s="242">
        <v>0.01</v>
      </c>
      <c r="E31" s="242">
        <v>0.01</v>
      </c>
    </row>
    <row r="32" spans="2:5" ht="15.75" x14ac:dyDescent="0.3">
      <c r="B32" s="5"/>
      <c r="C32" s="13"/>
      <c r="D32" s="13"/>
      <c r="E32" s="13"/>
    </row>
    <row r="33" spans="2:5" ht="15.75" x14ac:dyDescent="0.3">
      <c r="B33" s="75"/>
      <c r="C33" s="239"/>
      <c r="D33" s="239"/>
      <c r="E33" s="239"/>
    </row>
    <row r="35" spans="2:5" ht="16.5" thickBot="1" x14ac:dyDescent="0.35">
      <c r="B35" s="6" t="s">
        <v>55</v>
      </c>
      <c r="C35" s="6"/>
      <c r="D35" s="6" t="s">
        <v>56</v>
      </c>
    </row>
    <row r="36" spans="2:5" ht="15.75" x14ac:dyDescent="0.3">
      <c r="B36" s="5"/>
      <c r="C36" s="5"/>
    </row>
    <row r="37" spans="2:5" x14ac:dyDescent="0.25">
      <c r="B37" s="8">
        <v>1</v>
      </c>
      <c r="C37" s="9" t="s">
        <v>8</v>
      </c>
      <c r="D37" s="9" t="s">
        <v>59</v>
      </c>
    </row>
    <row r="38" spans="2:5" x14ac:dyDescent="0.25">
      <c r="B38" s="8">
        <v>2</v>
      </c>
      <c r="C38" s="9" t="s">
        <v>50</v>
      </c>
      <c r="D38" s="9" t="s">
        <v>58</v>
      </c>
    </row>
    <row r="39" spans="2:5" x14ac:dyDescent="0.25">
      <c r="B39" s="8">
        <v>3</v>
      </c>
      <c r="C39" s="9" t="s">
        <v>51</v>
      </c>
      <c r="D39" s="9" t="s">
        <v>57</v>
      </c>
    </row>
    <row r="43" spans="2:5" x14ac:dyDescent="0.25">
      <c r="B43" s="77"/>
      <c r="C43" s="77"/>
      <c r="D43" s="77"/>
      <c r="E43" s="7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3A72-8C93-47B6-896A-10FF752F70D4}">
  <dimension ref="A2:BL105"/>
  <sheetViews>
    <sheetView zoomScale="80" zoomScaleNormal="80" workbookViewId="0">
      <pane ySplit="9" topLeftCell="A10" activePane="bottomLeft" state="frozen"/>
      <selection pane="bottomLeft" activeCell="A10" sqref="A10"/>
    </sheetView>
  </sheetViews>
  <sheetFormatPr defaultRowHeight="15" x14ac:dyDescent="0.3"/>
  <cols>
    <col min="1" max="1" width="11.42578125" style="5" customWidth="1"/>
    <col min="2" max="2" width="0.85546875" style="5" customWidth="1"/>
    <col min="3" max="3" width="32.7109375" style="5" bestFit="1" customWidth="1"/>
    <col min="4" max="4" width="21.85546875" style="5" bestFit="1" customWidth="1"/>
    <col min="5" max="5" width="23.5703125" style="5" bestFit="1" customWidth="1"/>
    <col min="6" max="6" width="30.5703125" style="5" customWidth="1"/>
    <col min="7" max="7" width="26" style="5" bestFit="1" customWidth="1"/>
    <col min="8" max="8" width="21.5703125" style="5" customWidth="1"/>
    <col min="9" max="9" width="21.28515625" style="5" customWidth="1"/>
    <col min="10" max="10" width="18.5703125" style="5" bestFit="1" customWidth="1"/>
    <col min="11" max="11" width="18.85546875" style="5" bestFit="1" customWidth="1"/>
    <col min="12" max="12" width="20.140625" style="5" bestFit="1" customWidth="1"/>
    <col min="13" max="13" width="19.5703125" style="5" customWidth="1"/>
    <col min="14" max="15" width="18.5703125" style="5" bestFit="1" customWidth="1"/>
    <col min="16" max="16" width="22.140625" style="5" bestFit="1" customWidth="1"/>
    <col min="17" max="28" width="18.5703125" style="5" bestFit="1" customWidth="1"/>
    <col min="29" max="41" width="9.140625" style="5"/>
    <col min="42" max="42" width="10.5703125" style="5" bestFit="1" customWidth="1"/>
    <col min="43" max="16384" width="9.140625" style="5"/>
  </cols>
  <sheetData>
    <row r="2" spans="1:28" ht="22.5" x14ac:dyDescent="0.4">
      <c r="A2" s="5" t="s">
        <v>73</v>
      </c>
      <c r="C2" s="50" t="s">
        <v>60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4" spans="1:28" x14ac:dyDescent="0.3">
      <c r="A4" s="7"/>
      <c r="B4" s="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spans="1:28" x14ac:dyDescent="0.3">
      <c r="C5" s="4" t="str">
        <f>"Selected Scenario: "&amp; IF(D5=1,Assumptions!C37,IF(Forecast_Model!D5=2,Assumptions!C38,IF(Forecast_Model!D5=3,Assumptions!C39,0)))</f>
        <v>Selected Scenario: Severe</v>
      </c>
      <c r="D5" s="20">
        <v>3</v>
      </c>
    </row>
    <row r="6" spans="1:28" x14ac:dyDescent="0.3">
      <c r="C6" s="4" t="s">
        <v>56</v>
      </c>
      <c r="D6" s="21" t="str">
        <f>IF(D5=1,Assumptions!D37,IF(Forecast_Model!D5=2,Assumptions!D38,IF(Forecast_Model!D5=3,Assumptions!D39,0)))</f>
        <v xml:space="preserve"> Months 6-15</v>
      </c>
    </row>
    <row r="7" spans="1:28" x14ac:dyDescent="0.3">
      <c r="A7" s="10"/>
      <c r="B7" s="10"/>
      <c r="C7" s="4" t="s">
        <v>53</v>
      </c>
      <c r="D7" s="19" t="s">
        <v>54</v>
      </c>
    </row>
    <row r="8" spans="1:28" x14ac:dyDescent="0.3"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</row>
    <row r="10" spans="1:28" x14ac:dyDescent="0.3">
      <c r="A10" s="12"/>
      <c r="B10" s="12"/>
    </row>
    <row r="11" spans="1:28" x14ac:dyDescent="0.3">
      <c r="A11" s="12"/>
      <c r="B11" s="12"/>
      <c r="C11" s="135"/>
      <c r="E11" s="62">
        <f>YEAR(E13)</f>
        <v>2026</v>
      </c>
      <c r="F11" s="52">
        <f t="shared" ref="F11:AB11" si="0">YEAR(F13)</f>
        <v>2026</v>
      </c>
      <c r="G11" s="61">
        <f t="shared" si="0"/>
        <v>2026</v>
      </c>
      <c r="H11" s="52">
        <f t="shared" si="0"/>
        <v>2026</v>
      </c>
      <c r="I11" s="52">
        <f t="shared" si="0"/>
        <v>2026</v>
      </c>
      <c r="J11" s="61">
        <f t="shared" si="0"/>
        <v>2026</v>
      </c>
      <c r="K11" s="52">
        <f t="shared" si="0"/>
        <v>2026</v>
      </c>
      <c r="L11" s="52">
        <f t="shared" si="0"/>
        <v>2026</v>
      </c>
      <c r="M11" s="61">
        <f t="shared" si="0"/>
        <v>2026</v>
      </c>
      <c r="N11" s="52">
        <f t="shared" si="0"/>
        <v>2026</v>
      </c>
      <c r="O11" s="52">
        <f t="shared" si="0"/>
        <v>2026</v>
      </c>
      <c r="P11" s="63">
        <f t="shared" si="0"/>
        <v>2026</v>
      </c>
      <c r="Q11" s="52">
        <f t="shared" si="0"/>
        <v>2027</v>
      </c>
      <c r="R11" s="52">
        <f t="shared" si="0"/>
        <v>2027</v>
      </c>
      <c r="S11" s="61">
        <f t="shared" si="0"/>
        <v>2027</v>
      </c>
      <c r="T11" s="52">
        <f t="shared" si="0"/>
        <v>2027</v>
      </c>
      <c r="U11" s="52">
        <f t="shared" si="0"/>
        <v>2027</v>
      </c>
      <c r="V11" s="61">
        <f t="shared" si="0"/>
        <v>2027</v>
      </c>
      <c r="W11" s="52">
        <f t="shared" si="0"/>
        <v>2027</v>
      </c>
      <c r="X11" s="52">
        <f t="shared" si="0"/>
        <v>2027</v>
      </c>
      <c r="Y11" s="61">
        <f t="shared" si="0"/>
        <v>2027</v>
      </c>
      <c r="Z11" s="52">
        <f t="shared" si="0"/>
        <v>2027</v>
      </c>
      <c r="AA11" s="52">
        <f t="shared" si="0"/>
        <v>2027</v>
      </c>
      <c r="AB11" s="63">
        <f t="shared" si="0"/>
        <v>2027</v>
      </c>
    </row>
    <row r="12" spans="1:28" x14ac:dyDescent="0.3">
      <c r="A12" s="12"/>
      <c r="B12" s="12"/>
      <c r="E12" s="70">
        <f>CHOOSE(MONTH(E13),1,1,1,2,2,2,3,3,3,4,4,4)</f>
        <v>1</v>
      </c>
      <c r="F12" s="2">
        <f t="shared" ref="F12:AB12" si="1">CHOOSE(MONTH(F13),1,1,1,2,2,2,3,3,3,4,4,4)</f>
        <v>1</v>
      </c>
      <c r="G12" s="65">
        <f t="shared" si="1"/>
        <v>1</v>
      </c>
      <c r="H12" s="2">
        <f t="shared" si="1"/>
        <v>2</v>
      </c>
      <c r="I12" s="2">
        <f t="shared" si="1"/>
        <v>2</v>
      </c>
      <c r="J12" s="65">
        <f t="shared" si="1"/>
        <v>2</v>
      </c>
      <c r="K12" s="2">
        <f t="shared" si="1"/>
        <v>3</v>
      </c>
      <c r="L12" s="2">
        <f t="shared" si="1"/>
        <v>3</v>
      </c>
      <c r="M12" s="65">
        <f t="shared" si="1"/>
        <v>3</v>
      </c>
      <c r="N12" s="2">
        <f t="shared" si="1"/>
        <v>4</v>
      </c>
      <c r="O12" s="2">
        <f t="shared" si="1"/>
        <v>4</v>
      </c>
      <c r="P12" s="64">
        <f t="shared" si="1"/>
        <v>4</v>
      </c>
      <c r="Q12" s="2">
        <f t="shared" si="1"/>
        <v>1</v>
      </c>
      <c r="R12" s="2">
        <f t="shared" si="1"/>
        <v>1</v>
      </c>
      <c r="S12" s="65">
        <f t="shared" si="1"/>
        <v>1</v>
      </c>
      <c r="T12" s="2">
        <f t="shared" si="1"/>
        <v>2</v>
      </c>
      <c r="U12" s="2">
        <f t="shared" si="1"/>
        <v>2</v>
      </c>
      <c r="V12" s="65">
        <f t="shared" si="1"/>
        <v>2</v>
      </c>
      <c r="W12" s="2">
        <f t="shared" si="1"/>
        <v>3</v>
      </c>
      <c r="X12" s="2">
        <f t="shared" si="1"/>
        <v>3</v>
      </c>
      <c r="Y12" s="65">
        <f t="shared" si="1"/>
        <v>3</v>
      </c>
      <c r="Z12" s="2">
        <f t="shared" si="1"/>
        <v>4</v>
      </c>
      <c r="AA12" s="2">
        <f t="shared" si="1"/>
        <v>4</v>
      </c>
      <c r="AB12" s="64">
        <f t="shared" si="1"/>
        <v>4</v>
      </c>
    </row>
    <row r="13" spans="1:28" ht="15.75" thickBot="1" x14ac:dyDescent="0.35">
      <c r="A13" s="12"/>
      <c r="B13" s="12"/>
      <c r="D13" s="141"/>
      <c r="E13" s="71">
        <v>46053</v>
      </c>
      <c r="F13" s="67">
        <f>EOMONTH(E13,1)</f>
        <v>46081</v>
      </c>
      <c r="G13" s="68">
        <f t="shared" ref="G13:AB13" si="2">EOMONTH(F13,1)</f>
        <v>46112</v>
      </c>
      <c r="H13" s="67">
        <f t="shared" si="2"/>
        <v>46142</v>
      </c>
      <c r="I13" s="67">
        <f t="shared" si="2"/>
        <v>46173</v>
      </c>
      <c r="J13" s="68">
        <f t="shared" si="2"/>
        <v>46203</v>
      </c>
      <c r="K13" s="67">
        <f t="shared" si="2"/>
        <v>46234</v>
      </c>
      <c r="L13" s="67">
        <f t="shared" si="2"/>
        <v>46265</v>
      </c>
      <c r="M13" s="68">
        <f t="shared" si="2"/>
        <v>46295</v>
      </c>
      <c r="N13" s="67">
        <f t="shared" si="2"/>
        <v>46326</v>
      </c>
      <c r="O13" s="67">
        <f t="shared" si="2"/>
        <v>46356</v>
      </c>
      <c r="P13" s="69">
        <f t="shared" si="2"/>
        <v>46387</v>
      </c>
      <c r="Q13" s="67">
        <f t="shared" si="2"/>
        <v>46418</v>
      </c>
      <c r="R13" s="67">
        <f t="shared" si="2"/>
        <v>46446</v>
      </c>
      <c r="S13" s="68">
        <f t="shared" si="2"/>
        <v>46477</v>
      </c>
      <c r="T13" s="67">
        <f t="shared" si="2"/>
        <v>46507</v>
      </c>
      <c r="U13" s="67">
        <f t="shared" si="2"/>
        <v>46538</v>
      </c>
      <c r="V13" s="68">
        <f t="shared" si="2"/>
        <v>46568</v>
      </c>
      <c r="W13" s="67">
        <f t="shared" si="2"/>
        <v>46599</v>
      </c>
      <c r="X13" s="67">
        <f t="shared" si="2"/>
        <v>46630</v>
      </c>
      <c r="Y13" s="68">
        <f t="shared" si="2"/>
        <v>46660</v>
      </c>
      <c r="Z13" s="67">
        <f t="shared" si="2"/>
        <v>46691</v>
      </c>
      <c r="AA13" s="67">
        <f t="shared" si="2"/>
        <v>46721</v>
      </c>
      <c r="AB13" s="69">
        <f t="shared" si="2"/>
        <v>46752</v>
      </c>
    </row>
    <row r="14" spans="1:28" x14ac:dyDescent="0.3">
      <c r="E14" s="66">
        <v>1</v>
      </c>
      <c r="F14" s="66">
        <v>2</v>
      </c>
      <c r="G14" s="66">
        <v>3</v>
      </c>
      <c r="H14" s="66">
        <v>4</v>
      </c>
      <c r="I14" s="66">
        <v>5</v>
      </c>
      <c r="J14" s="66">
        <v>6</v>
      </c>
      <c r="K14" s="66">
        <v>7</v>
      </c>
      <c r="L14" s="66">
        <v>8</v>
      </c>
      <c r="M14" s="66">
        <v>9</v>
      </c>
      <c r="N14" s="66">
        <v>10</v>
      </c>
      <c r="O14" s="66">
        <v>11</v>
      </c>
      <c r="P14" s="66">
        <v>12</v>
      </c>
      <c r="Q14" s="66">
        <v>13</v>
      </c>
      <c r="R14" s="66">
        <v>14</v>
      </c>
      <c r="S14" s="66">
        <v>15</v>
      </c>
      <c r="T14" s="66">
        <v>16</v>
      </c>
      <c r="U14" s="66">
        <v>17</v>
      </c>
      <c r="V14" s="66">
        <v>18</v>
      </c>
      <c r="W14" s="66">
        <v>19</v>
      </c>
      <c r="X14" s="66">
        <v>20</v>
      </c>
      <c r="Y14" s="66">
        <v>21</v>
      </c>
      <c r="Z14" s="66">
        <v>22</v>
      </c>
      <c r="AA14" s="66">
        <v>23</v>
      </c>
      <c r="AB14" s="66">
        <v>24</v>
      </c>
    </row>
    <row r="15" spans="1:28" x14ac:dyDescent="0.3">
      <c r="C15" s="4" t="s">
        <v>52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7" spans="3:64" x14ac:dyDescent="0.3">
      <c r="C17" s="5" t="s">
        <v>5</v>
      </c>
      <c r="E17" s="25">
        <v>19720</v>
      </c>
      <c r="F17" s="26">
        <v>21230</v>
      </c>
      <c r="G17" s="27">
        <v>19880</v>
      </c>
      <c r="H17" s="26">
        <f>Assumptions!$C$6</f>
        <v>20000</v>
      </c>
      <c r="I17" s="26">
        <f>Assumptions!$C$6</f>
        <v>20000</v>
      </c>
      <c r="J17" s="27">
        <f>Assumptions!$C$6</f>
        <v>20000</v>
      </c>
      <c r="K17" s="26">
        <f>Assumptions!$C$6</f>
        <v>20000</v>
      </c>
      <c r="L17" s="26">
        <f>Assumptions!$C$6</f>
        <v>20000</v>
      </c>
      <c r="M17" s="27">
        <f>Assumptions!$C$6</f>
        <v>20000</v>
      </c>
      <c r="N17" s="26">
        <f>Assumptions!$C$6</f>
        <v>20000</v>
      </c>
      <c r="O17" s="26">
        <f>Assumptions!$C$6</f>
        <v>20000</v>
      </c>
      <c r="P17" s="27">
        <f>Assumptions!$C$6</f>
        <v>20000</v>
      </c>
      <c r="Q17" s="26">
        <f>Assumptions!$C$6</f>
        <v>20000</v>
      </c>
      <c r="R17" s="26">
        <f>Assumptions!$C$6</f>
        <v>20000</v>
      </c>
      <c r="S17" s="27">
        <f>Assumptions!$C$6</f>
        <v>20000</v>
      </c>
      <c r="T17" s="26">
        <f>Assumptions!$C$6</f>
        <v>20000</v>
      </c>
      <c r="U17" s="26">
        <f>Assumptions!$C$6</f>
        <v>20000</v>
      </c>
      <c r="V17" s="27">
        <f>Assumptions!$C$6</f>
        <v>20000</v>
      </c>
      <c r="W17" s="26">
        <f>Assumptions!$C$6</f>
        <v>20000</v>
      </c>
      <c r="X17" s="26">
        <f>Assumptions!$C$6</f>
        <v>20000</v>
      </c>
      <c r="Y17" s="27">
        <f>Assumptions!$C$6</f>
        <v>20000</v>
      </c>
      <c r="Z17" s="26">
        <f>Assumptions!$C$6</f>
        <v>20000</v>
      </c>
      <c r="AA17" s="26">
        <f>Assumptions!$C$6</f>
        <v>20000</v>
      </c>
      <c r="AB17" s="27">
        <f>Assumptions!$C$6</f>
        <v>20000</v>
      </c>
    </row>
    <row r="18" spans="3:64" x14ac:dyDescent="0.3">
      <c r="C18" s="5" t="s">
        <v>6</v>
      </c>
      <c r="E18" s="28">
        <f>IF(Forecast_Model!$D$5=1,0%,IF(Forecast_Model!$D$5=2,IF(AND(E$14&gt;=7,E$14&lt;=12),Assumptions!$D$26,IF(E14&gt;=13,MIN(0%,D18+Assumptions!$D$30),0%)),IF(Forecast_Model!$D$5=3,IF(AND(E$14&gt;=6,E$14&lt;=15),Assumptions!$E$26, IF(E14&gt;=16,MIN(0%,D18+Assumptions!$E$30),0%)), 0%)))</f>
        <v>0</v>
      </c>
      <c r="F18" s="14">
        <f>IF(Forecast_Model!$D$5=1,0%,IF(Forecast_Model!$D$5=2,IF(AND(F$14&gt;=7,F$14&lt;=12),Assumptions!$D$26,IF(F14&gt;=13,MIN(0%,E18+Assumptions!$D$30),0%)),IF(Forecast_Model!$D$5=3,IF(AND(F$14&gt;=6,F$14&lt;=15),Assumptions!$E$26, IF(F14&gt;=16,MIN(0%,E18+Assumptions!$E$30),0%)), 0%)))</f>
        <v>0</v>
      </c>
      <c r="G18" s="29">
        <f>IF(Forecast_Model!$D$5=1,0%,IF(Forecast_Model!$D$5=2,IF(AND(G$14&gt;=7,G$14&lt;=12),Assumptions!$D$26,IF(G14&gt;=13,MIN(0%,F18+Assumptions!$D$30),0%)),IF(Forecast_Model!$D$5=3,IF(AND(G$14&gt;=6,G$14&lt;=15),Assumptions!$E$26, IF(G14&gt;=16,MIN(0%,F18+Assumptions!$E$30),0%)), 0%)))</f>
        <v>0</v>
      </c>
      <c r="H18" s="14">
        <f>IF(Forecast_Model!$D$5=1,0%,IF(Forecast_Model!$D$5=2,IF(AND(H$14&gt;=7,H$14&lt;=12),Assumptions!$D$26,IF(H14&gt;=13,MIN(0%,G18+Assumptions!$D$30),0%)),IF(Forecast_Model!$D$5=3,IF(AND(H$14&gt;=6,H$14&lt;=15),Assumptions!$E$26, IF(H14&gt;=16,MIN(0%,G18+Assumptions!$E$30),0%)), 0%)))</f>
        <v>0</v>
      </c>
      <c r="I18" s="14">
        <f>IF(Forecast_Model!$D$5=1,0%,IF(Forecast_Model!$D$5=2,IF(AND(I$14&gt;=7,I$14&lt;=12),Assumptions!$D$26,IF(I14&gt;=13,MIN(0%,H18+Assumptions!$D$30),0%)),IF(Forecast_Model!$D$5=3,IF(AND(I$14&gt;=6,I$14&lt;=15),Assumptions!$E$26, IF(I14&gt;=16,MIN(0%,H18+Assumptions!$E$30),0%)), 0%)))</f>
        <v>0</v>
      </c>
      <c r="J18" s="29">
        <f>IF(Forecast_Model!$D$5=1,0%,IF(Forecast_Model!$D$5=2,IF(AND(J$14&gt;=7,J$14&lt;=12),Assumptions!$D$26,IF(J14&gt;=13,MIN(0%,I18+Assumptions!$D$30),0%)),IF(Forecast_Model!$D$5=3,IF(AND(J$14&gt;=6,J$14&lt;=15),Assumptions!$E$26, IF(J14&gt;=16,MIN(0%,I18+Assumptions!$E$30),0%)), 0%)))</f>
        <v>-0.3</v>
      </c>
      <c r="K18" s="14">
        <f>IF(Forecast_Model!$D$5=1,0%,IF(Forecast_Model!$D$5=2,IF(AND(K$14&gt;=7,K$14&lt;=12),Assumptions!$D$26,IF(K14&gt;=13,MIN(0%,J18+Assumptions!$D$30),0%)),IF(Forecast_Model!$D$5=3,IF(AND(K$14&gt;=6,K$14&lt;=15),Assumptions!$E$26, IF(K14&gt;=16,MIN(0%,J18+Assumptions!$E$30),0%)), 0%)))</f>
        <v>-0.3</v>
      </c>
      <c r="L18" s="14">
        <f>IF(Forecast_Model!$D$5=1,0%,IF(Forecast_Model!$D$5=2,IF(AND(L$14&gt;=7,L$14&lt;=12),Assumptions!$D$26,IF(L14&gt;=13,MIN(0%,K18+Assumptions!$D$30),0%)),IF(Forecast_Model!$D$5=3,IF(AND(L$14&gt;=6,L$14&lt;=15),Assumptions!$E$26, IF(L14&gt;=16,MIN(0%,K18+Assumptions!$E$30),0%)), 0%)))</f>
        <v>-0.3</v>
      </c>
      <c r="M18" s="29">
        <f>IF(Forecast_Model!$D$5=1,0%,IF(Forecast_Model!$D$5=2,IF(AND(M$14&gt;=7,M$14&lt;=12),Assumptions!$D$26,IF(M14&gt;=13,MIN(0%,L18+Assumptions!$D$30),0%)),IF(Forecast_Model!$D$5=3,IF(AND(M$14&gt;=6,M$14&lt;=15),Assumptions!$E$26, IF(M14&gt;=16,MIN(0%,L18+Assumptions!$E$30),0%)), 0%)))</f>
        <v>-0.3</v>
      </c>
      <c r="N18" s="14">
        <f>IF(Forecast_Model!$D$5=1,0%,IF(Forecast_Model!$D$5=2,IF(AND(N$14&gt;=7,N$14&lt;=12),Assumptions!$D$26,IF(N14&gt;=13,MIN(0%,M18+Assumptions!$D$30),0%)),IF(Forecast_Model!$D$5=3,IF(AND(N$14&gt;=6,N$14&lt;=15),Assumptions!$E$26, IF(N14&gt;=16,MIN(0%,M18+Assumptions!$E$30),0%)), 0%)))</f>
        <v>-0.3</v>
      </c>
      <c r="O18" s="14">
        <f>IF(Forecast_Model!$D$5=1,0%,IF(Forecast_Model!$D$5=2,IF(AND(O$14&gt;=7,O$14&lt;=12),Assumptions!$D$26,IF(O14&gt;=13,MIN(0%,N18+Assumptions!$D$30),0%)),IF(Forecast_Model!$D$5=3,IF(AND(O$14&gt;=6,O$14&lt;=15),Assumptions!$E$26, IF(O14&gt;=16,MIN(0%,N18+Assumptions!$E$30),0%)), 0%)))</f>
        <v>-0.3</v>
      </c>
      <c r="P18" s="29">
        <f>IF(Forecast_Model!$D$5=1,0%,IF(Forecast_Model!$D$5=2,IF(AND(P$14&gt;=7,P$14&lt;=12),Assumptions!$D$26,IF(P14&gt;=13,MIN(0%,O18+Assumptions!$D$30),0%)),IF(Forecast_Model!$D$5=3,IF(AND(P$14&gt;=6,P$14&lt;=15),Assumptions!$E$26, IF(P14&gt;=16,MIN(0%,O18+Assumptions!$E$30),0%)), 0%)))</f>
        <v>-0.3</v>
      </c>
      <c r="Q18" s="14">
        <f>IF(Forecast_Model!$D$5=1,0%,IF(Forecast_Model!$D$5=2,IF(AND(Q$14&gt;=7,Q$14&lt;=12),Assumptions!$D$26,IF(Q14&gt;=13,MIN(0%,P18+Assumptions!$D$30),0%)),IF(Forecast_Model!$D$5=3,IF(AND(Q$14&gt;=6,Q$14&lt;=15),Assumptions!$E$26, IF(Q14&gt;=16,MIN(0%,P18+Assumptions!$E$30),0%)), 0%)))</f>
        <v>-0.3</v>
      </c>
      <c r="R18" s="14">
        <f>IF(Forecast_Model!$D$5=1,0%,IF(Forecast_Model!$D$5=2,IF(AND(R$14&gt;=7,R$14&lt;=12),Assumptions!$D$26,IF(R14&gt;=13,MIN(0%,Q18+Assumptions!$D$30),0%)),IF(Forecast_Model!$D$5=3,IF(AND(R$14&gt;=6,R$14&lt;=15),Assumptions!$E$26, IF(R14&gt;=16,MIN(0%,Q18+Assumptions!$E$30),0%)), 0%)))</f>
        <v>-0.3</v>
      </c>
      <c r="S18" s="29">
        <f>IF(Forecast_Model!$D$5=1,0%,IF(Forecast_Model!$D$5=2,IF(AND(S$14&gt;=7,S$14&lt;=12),Assumptions!$D$26,IF(S14&gt;=13,MIN(0%,R18+Assumptions!$D$30),0%)),IF(Forecast_Model!$D$5=3,IF(AND(S$14&gt;=6,S$14&lt;=15),Assumptions!$E$26, IF(S14&gt;=16,MIN(0%,R18+Assumptions!$E$30),0%)), 0%)))</f>
        <v>-0.3</v>
      </c>
      <c r="T18" s="14">
        <f>IF(Forecast_Model!$D$5=1,0%,IF(Forecast_Model!$D$5=2,IF(AND(T$14&gt;=7,T$14&lt;=12),Assumptions!$D$26,IF(T14&gt;=13,MIN(0%,S18+Assumptions!$D$30),0%)),IF(Forecast_Model!$D$5=3,IF(AND(T$14&gt;=6,T$14&lt;=15),Assumptions!$E$26, IF(T14&gt;=16,MIN(0%,S18+Assumptions!$E$30),0%)), 0%)))</f>
        <v>-0.29399999999999998</v>
      </c>
      <c r="U18" s="14">
        <f>IF(Forecast_Model!$D$5=1,0%,IF(Forecast_Model!$D$5=2,IF(AND(U$14&gt;=7,U$14&lt;=12),Assumptions!$D$26,IF(U14&gt;=13,MIN(0%,T18+Assumptions!$D$30),0%)),IF(Forecast_Model!$D$5=3,IF(AND(U$14&gt;=6,U$14&lt;=15),Assumptions!$E$26, IF(U14&gt;=16,MIN(0%,T18+Assumptions!$E$30),0%)), 0%)))</f>
        <v>-0.28799999999999998</v>
      </c>
      <c r="V18" s="29">
        <f>IF(Forecast_Model!$D$5=1,0%,IF(Forecast_Model!$D$5=2,IF(AND(V$14&gt;=7,V$14&lt;=12),Assumptions!$D$26,IF(V14&gt;=13,MIN(0%,U18+Assumptions!$D$30),0%)),IF(Forecast_Model!$D$5=3,IF(AND(V$14&gt;=6,V$14&lt;=15),Assumptions!$E$26, IF(V14&gt;=16,MIN(0%,U18+Assumptions!$E$30),0%)), 0%)))</f>
        <v>-0.28199999999999997</v>
      </c>
      <c r="W18" s="14">
        <f>IF(Forecast_Model!$D$5=1,0%,IF(Forecast_Model!$D$5=2,IF(AND(W$14&gt;=7,W$14&lt;=12),Assumptions!$D$26,IF(W14&gt;=13,MIN(0%,V18+Assumptions!$D$30),0%)),IF(Forecast_Model!$D$5=3,IF(AND(W$14&gt;=6,W$14&lt;=15),Assumptions!$E$26, IF(W14&gt;=16,MIN(0%,V18+Assumptions!$E$30),0%)), 0%)))</f>
        <v>-0.27599999999999997</v>
      </c>
      <c r="X18" s="14">
        <f>IF(Forecast_Model!$D$5=1,0%,IF(Forecast_Model!$D$5=2,IF(AND(X$14&gt;=7,X$14&lt;=12),Assumptions!$D$26,IF(X14&gt;=13,MIN(0%,W18+Assumptions!$D$30),0%)),IF(Forecast_Model!$D$5=3,IF(AND(X$14&gt;=6,X$14&lt;=15),Assumptions!$E$26, IF(X14&gt;=16,MIN(0%,W18+Assumptions!$E$30),0%)), 0%)))</f>
        <v>-0.26999999999999996</v>
      </c>
      <c r="Y18" s="29">
        <f>IF(Forecast_Model!$D$5=1,0%,IF(Forecast_Model!$D$5=2,IF(AND(Y$14&gt;=7,Y$14&lt;=12),Assumptions!$D$26,IF(Y14&gt;=13,MIN(0%,X18+Assumptions!$D$30),0%)),IF(Forecast_Model!$D$5=3,IF(AND(Y$14&gt;=6,Y$14&lt;=15),Assumptions!$E$26, IF(Y14&gt;=16,MIN(0%,X18+Assumptions!$E$30),0%)), 0%)))</f>
        <v>-0.26399999999999996</v>
      </c>
      <c r="Z18" s="14">
        <f>IF(Forecast_Model!$D$5=1,0%,IF(Forecast_Model!$D$5=2,IF(AND(Z$14&gt;=7,Z$14&lt;=12),Assumptions!$D$26,IF(Z14&gt;=13,MIN(0%,Y18+Assumptions!$D$30),0%)),IF(Forecast_Model!$D$5=3,IF(AND(Z$14&gt;=6,Z$14&lt;=15),Assumptions!$E$26, IF(Z14&gt;=16,MIN(0%,Y18+Assumptions!$E$30),0%)), 0%)))</f>
        <v>-0.25799999999999995</v>
      </c>
      <c r="AA18" s="14">
        <f>IF(Forecast_Model!$D$5=1,0%,IF(Forecast_Model!$D$5=2,IF(AND(AA$14&gt;=7,AA$14&lt;=12),Assumptions!$D$26,IF(AA14&gt;=13,MIN(0%,Z18+Assumptions!$D$30),0%)),IF(Forecast_Model!$D$5=3,IF(AND(AA$14&gt;=6,AA$14&lt;=15),Assumptions!$E$26, IF(AA14&gt;=16,MIN(0%,Z18+Assumptions!$E$30),0%)), 0%)))</f>
        <v>-0.25199999999999995</v>
      </c>
      <c r="AB18" s="29">
        <f>IF(Forecast_Model!$D$5=1,0%,IF(Forecast_Model!$D$5=2,IF(AND(AB$14&gt;=7,AB$14&lt;=12),Assumptions!$D$26,IF(AB14&gt;=13,MIN(0%,AA18+Assumptions!$D$30),0%)),IF(Forecast_Model!$D$5=3,IF(AND(AB$14&gt;=6,AB$14&lt;=15),Assumptions!$E$26, IF(AB14&gt;=16,MIN(0%,AA18+Assumptions!$E$30),0%)), 0%)))</f>
        <v>-0.24599999999999994</v>
      </c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</row>
    <row r="19" spans="3:64" ht="15.75" thickBot="1" x14ac:dyDescent="0.35">
      <c r="C19" s="4" t="s">
        <v>7</v>
      </c>
      <c r="D19" s="72"/>
      <c r="E19" s="44">
        <f>E17*(1+E18)</f>
        <v>19720</v>
      </c>
      <c r="F19" s="45">
        <f t="shared" ref="F19:AB19" si="3">F17*(1+F18)</f>
        <v>21230</v>
      </c>
      <c r="G19" s="46">
        <f t="shared" si="3"/>
        <v>19880</v>
      </c>
      <c r="H19" s="45">
        <f t="shared" si="3"/>
        <v>20000</v>
      </c>
      <c r="I19" s="45">
        <f t="shared" si="3"/>
        <v>20000</v>
      </c>
      <c r="J19" s="46">
        <f t="shared" si="3"/>
        <v>14000</v>
      </c>
      <c r="K19" s="45">
        <f t="shared" si="3"/>
        <v>14000</v>
      </c>
      <c r="L19" s="45">
        <f t="shared" si="3"/>
        <v>14000</v>
      </c>
      <c r="M19" s="46">
        <f t="shared" si="3"/>
        <v>14000</v>
      </c>
      <c r="N19" s="45">
        <f t="shared" si="3"/>
        <v>14000</v>
      </c>
      <c r="O19" s="45">
        <f t="shared" si="3"/>
        <v>14000</v>
      </c>
      <c r="P19" s="46">
        <f t="shared" si="3"/>
        <v>14000</v>
      </c>
      <c r="Q19" s="45">
        <f t="shared" si="3"/>
        <v>14000</v>
      </c>
      <c r="R19" s="45">
        <f t="shared" si="3"/>
        <v>14000</v>
      </c>
      <c r="S19" s="46">
        <f t="shared" si="3"/>
        <v>14000</v>
      </c>
      <c r="T19" s="45">
        <f t="shared" si="3"/>
        <v>14120</v>
      </c>
      <c r="U19" s="45">
        <f t="shared" si="3"/>
        <v>14240</v>
      </c>
      <c r="V19" s="46">
        <f t="shared" si="3"/>
        <v>14360</v>
      </c>
      <c r="W19" s="45">
        <f t="shared" si="3"/>
        <v>14480</v>
      </c>
      <c r="X19" s="45">
        <f t="shared" si="3"/>
        <v>14600</v>
      </c>
      <c r="Y19" s="46">
        <f t="shared" si="3"/>
        <v>14720</v>
      </c>
      <c r="Z19" s="45">
        <f t="shared" si="3"/>
        <v>14840</v>
      </c>
      <c r="AA19" s="45">
        <f t="shared" si="3"/>
        <v>14960</v>
      </c>
      <c r="AB19" s="46">
        <f t="shared" si="3"/>
        <v>15080</v>
      </c>
    </row>
    <row r="20" spans="3:64" ht="15.75" thickTop="1" x14ac:dyDescent="0.3">
      <c r="E20" s="30"/>
      <c r="F20" s="11"/>
      <c r="G20" s="31"/>
      <c r="H20" s="11"/>
      <c r="I20" s="11"/>
      <c r="J20" s="31"/>
      <c r="K20" s="11"/>
      <c r="L20" s="11"/>
      <c r="M20" s="31"/>
      <c r="N20" s="11"/>
      <c r="O20" s="11"/>
      <c r="P20" s="31"/>
      <c r="Q20" s="11"/>
      <c r="R20" s="11"/>
      <c r="S20" s="31"/>
      <c r="T20" s="11"/>
      <c r="U20" s="11"/>
      <c r="V20" s="31"/>
      <c r="W20" s="11"/>
      <c r="X20" s="11"/>
      <c r="Y20" s="31"/>
      <c r="Z20" s="11"/>
      <c r="AA20" s="11"/>
      <c r="AB20" s="31"/>
    </row>
    <row r="21" spans="3:64" x14ac:dyDescent="0.3">
      <c r="C21" s="5" t="s">
        <v>9</v>
      </c>
      <c r="E21" s="30">
        <f>Assumptions!$C$7</f>
        <v>30000</v>
      </c>
      <c r="F21" s="11">
        <f>IF(MOD(MONTH(F13)-1,12)=0,(E21*(1+Assumptions!$C$19)),E21)</f>
        <v>30000</v>
      </c>
      <c r="G21" s="31">
        <f>IF(MOD(MONTH(G13)-1,12)=0,(F21*(1+Assumptions!$C$19)),F21)</f>
        <v>30000</v>
      </c>
      <c r="H21" s="11">
        <f>IF(MOD(MONTH(H13)-1,12)=0,(G21*(1+Assumptions!$C$19)),G21)</f>
        <v>30000</v>
      </c>
      <c r="I21" s="11">
        <f>IF(MOD(MONTH(I13)-1,12)=0,(H21*(1+Assumptions!$C$19)),H21)</f>
        <v>30000</v>
      </c>
      <c r="J21" s="31">
        <f>IF(MOD(MONTH(J13)-1,12)=0,(I21*(1+Assumptions!$C$19)),I21)</f>
        <v>30000</v>
      </c>
      <c r="K21" s="11">
        <f>IF(MOD(MONTH(K13)-1,12)=0,(J21*(1+Assumptions!$C$19)),J21)</f>
        <v>30000</v>
      </c>
      <c r="L21" s="11">
        <f>IF(MOD(MONTH(L13)-1,12)=0,(K21*(1+Assumptions!$C$19)),K21)</f>
        <v>30000</v>
      </c>
      <c r="M21" s="31">
        <f>IF(MOD(MONTH(M13)-1,12)=0,(L21*(1+Assumptions!$C$19)),L21)</f>
        <v>30000</v>
      </c>
      <c r="N21" s="11">
        <f>IF(MOD(MONTH(N13)-1,12)=0,(M21*(1+Assumptions!$C$19)),M21)</f>
        <v>30000</v>
      </c>
      <c r="O21" s="11">
        <f>IF(MOD(MONTH(O13)-1,12)=0,(N21*(1+Assumptions!$C$19)),N21)</f>
        <v>30000</v>
      </c>
      <c r="P21" s="31">
        <f>IF(MOD(MONTH(P13)-1,12)=0,(O21*(1+Assumptions!$C$19)),O21)</f>
        <v>30000</v>
      </c>
      <c r="Q21" s="11">
        <f>IF(MOD(MONTH(Q13)-1,12)=0,(P21*(1+Assumptions!$C$19)),P21)</f>
        <v>30600</v>
      </c>
      <c r="R21" s="11">
        <f>IF(MOD(MONTH(R13)-1,12)=0,(Q21*(1+Assumptions!$C$19)),Q21)</f>
        <v>30600</v>
      </c>
      <c r="S21" s="31">
        <f>IF(MOD(MONTH(S13)-1,12)=0,(R21*(1+Assumptions!$C$19)),R21)</f>
        <v>30600</v>
      </c>
      <c r="T21" s="11">
        <f>IF(MOD(MONTH(T13)-1,12)=0,(S21*(1+Assumptions!$C$19)),S21)</f>
        <v>30600</v>
      </c>
      <c r="U21" s="11">
        <f>IF(MOD(MONTH(U13)-1,12)=0,(T21*(1+Assumptions!$C$19)),T21)</f>
        <v>30600</v>
      </c>
      <c r="V21" s="31">
        <f>IF(MOD(MONTH(V13)-1,12)=0,(U21*(1+Assumptions!$C$19)),U21)</f>
        <v>30600</v>
      </c>
      <c r="W21" s="11">
        <f>IF(MOD(MONTH(W13)-1,12)=0,(V21*(1+Assumptions!$C$19)),V21)</f>
        <v>30600</v>
      </c>
      <c r="X21" s="11">
        <f>IF(MOD(MONTH(X13)-1,12)=0,(W21*(1+Assumptions!$C$19)),W21)</f>
        <v>30600</v>
      </c>
      <c r="Y21" s="31">
        <f>IF(MOD(MONTH(Y13)-1,12)=0,(X21*(1+Assumptions!$C$19)),X21)</f>
        <v>30600</v>
      </c>
      <c r="Z21" s="11">
        <f>IF(MOD(MONTH(Z13)-1,12)=0,(Y21*(1+Assumptions!$C$19)),Y21)</f>
        <v>30600</v>
      </c>
      <c r="AA21" s="11">
        <f>IF(MOD(MONTH(AA13)-1,12)=0,(Z21*(1+Assumptions!$C$19)),Z21)</f>
        <v>30600</v>
      </c>
      <c r="AB21" s="31">
        <f>IF(MOD(MONTH(AB13)-1,12)=0,(AA21*(1+Assumptions!$C$19)),AA21)</f>
        <v>30600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</row>
    <row r="22" spans="3:64" x14ac:dyDescent="0.3">
      <c r="C22" s="5" t="s">
        <v>10</v>
      </c>
      <c r="E22" s="32">
        <f>IF(Forecast_Model!$D$5=1,0%,IF(Forecast_Model!$D$5=2,IF(AND(E14&gt;=7,E14&lt;=12),Assumptions!$D$27,IF(E14&gt;=13,MIN(0%,D22+Assumptions!$D$31),0%)),IF(Forecast_Model!$D$5=3,IF(AND(E14&gt;=6,E14&lt;=15),Assumptions!$E$27,IF(E14&gt;=16,MIN(0%,D22+Assumptions!$E$31),0%)))))</f>
        <v>0</v>
      </c>
      <c r="F22" s="33">
        <f>IF(Forecast_Model!$D$5=1,0%,IF(Forecast_Model!$D$5=2,IF(AND(F14&gt;=7,F14&lt;=12),Assumptions!$D$27,IF(F14&gt;=13,MIN(0%,E22+Assumptions!$D$31),0%)),IF(Forecast_Model!$D$5=3,IF(AND(F14&gt;=6,F14&lt;=15),Assumptions!$E$27,IF(F14&gt;=16,MIN(0%,E22+Assumptions!$E$31),0%)))))</f>
        <v>0</v>
      </c>
      <c r="G22" s="34">
        <f>IF(Forecast_Model!$D$5=1,0%,IF(Forecast_Model!$D$5=2,IF(AND(G14&gt;=7,G14&lt;=12),Assumptions!$D$27,IF(G14&gt;=13,MIN(0%,F22+Assumptions!$D$31),0%)),IF(Forecast_Model!$D$5=3,IF(AND(G14&gt;=6,G14&lt;=15),Assumptions!$E$27,IF(G14&gt;=16,MIN(0%,F22+Assumptions!$E$31),0%)))))</f>
        <v>0</v>
      </c>
      <c r="H22" s="33">
        <f>IF(Forecast_Model!$D$5=1,0%,IF(Forecast_Model!$D$5=2,IF(AND(H14&gt;=7,H14&lt;=12),Assumptions!$D$27,IF(H14&gt;=13,MIN(0%,G22+Assumptions!$D$31),0%)),IF(Forecast_Model!$D$5=3,IF(AND(H14&gt;=6,H14&lt;=15),Assumptions!$E$27,IF(H14&gt;=16,MIN(0%,G22+Assumptions!$E$31),0%)))))</f>
        <v>0</v>
      </c>
      <c r="I22" s="33">
        <f>IF(Forecast_Model!$D$5=1,0%,IF(Forecast_Model!$D$5=2,IF(AND(I14&gt;=7,I14&lt;=12),Assumptions!$D$27,IF(I14&gt;=13,MIN(0%,H22+Assumptions!$D$31),0%)),IF(Forecast_Model!$D$5=3,IF(AND(I14&gt;=6,I14&lt;=15),Assumptions!$E$27,IF(I14&gt;=16,MIN(0%,H22+Assumptions!$E$31),0%)))))</f>
        <v>0</v>
      </c>
      <c r="J22" s="34">
        <f>IF(Forecast_Model!$D$5=1,0%,IF(Forecast_Model!$D$5=2,IF(AND(J14&gt;=7,J14&lt;=12),Assumptions!$D$27,IF(J14&gt;=13,MIN(0%,I22+Assumptions!$D$31),0%)),IF(Forecast_Model!$D$5=3,IF(AND(J14&gt;=6,J14&lt;=15),Assumptions!$E$27,IF(J14&gt;=16,MIN(0%,I22+Assumptions!$E$31),0%)))))</f>
        <v>-0.1</v>
      </c>
      <c r="K22" s="33">
        <f>IF(Forecast_Model!$D$5=1,0%,IF(Forecast_Model!$D$5=2,IF(AND(K14&gt;=7,K14&lt;=12),Assumptions!$D$27,IF(K14&gt;=13,MIN(0%,J22+Assumptions!$D$31),0%)),IF(Forecast_Model!$D$5=3,IF(AND(K14&gt;=6,K14&lt;=15),Assumptions!$E$27,IF(K14&gt;=16,MIN(0%,J22+Assumptions!$E$31),0%)))))</f>
        <v>-0.1</v>
      </c>
      <c r="L22" s="33">
        <f>IF(Forecast_Model!$D$5=1,0%,IF(Forecast_Model!$D$5=2,IF(AND(L14&gt;=7,L14&lt;=12),Assumptions!$D$27,IF(L14&gt;=13,MIN(0%,K22+Assumptions!$D$31),0%)),IF(Forecast_Model!$D$5=3,IF(AND(L14&gt;=6,L14&lt;=15),Assumptions!$E$27,IF(L14&gt;=16,MIN(0%,K22+Assumptions!$E$31),0%)))))</f>
        <v>-0.1</v>
      </c>
      <c r="M22" s="34">
        <f>IF(Forecast_Model!$D$5=1,0%,IF(Forecast_Model!$D$5=2,IF(AND(M14&gt;=7,M14&lt;=12),Assumptions!$D$27,IF(M14&gt;=13,MIN(0%,L22+Assumptions!$D$31),0%)),IF(Forecast_Model!$D$5=3,IF(AND(M14&gt;=6,M14&lt;=15),Assumptions!$E$27,IF(M14&gt;=16,MIN(0%,L22+Assumptions!$E$31),0%)))))</f>
        <v>-0.1</v>
      </c>
      <c r="N22" s="33">
        <f>IF(Forecast_Model!$D$5=1,0%,IF(Forecast_Model!$D$5=2,IF(AND(N14&gt;=7,N14&lt;=12),Assumptions!$D$27,IF(N14&gt;=13,MIN(0%,M22+Assumptions!$D$31),0%)),IF(Forecast_Model!$D$5=3,IF(AND(N14&gt;=6,N14&lt;=15),Assumptions!$E$27,IF(N14&gt;=16,MIN(0%,M22+Assumptions!$E$31),0%)))))</f>
        <v>-0.1</v>
      </c>
      <c r="O22" s="33">
        <f>IF(Forecast_Model!$D$5=1,0%,IF(Forecast_Model!$D$5=2,IF(AND(O14&gt;=7,O14&lt;=12),Assumptions!$D$27,IF(O14&gt;=13,MIN(0%,N22+Assumptions!$D$31),0%)),IF(Forecast_Model!$D$5=3,IF(AND(O14&gt;=6,O14&lt;=15),Assumptions!$E$27,IF(O14&gt;=16,MIN(0%,N22+Assumptions!$E$31),0%)))))</f>
        <v>-0.1</v>
      </c>
      <c r="P22" s="34">
        <f>IF(Forecast_Model!$D$5=1,0%,IF(Forecast_Model!$D$5=2,IF(AND(P14&gt;=7,P14&lt;=12),Assumptions!$D$27,IF(P14&gt;=13,MIN(0%,O22+Assumptions!$D$31),0%)),IF(Forecast_Model!$D$5=3,IF(AND(P14&gt;=6,P14&lt;=15),Assumptions!$E$27,IF(P14&gt;=16,MIN(0%,O22+Assumptions!$E$31),0%)))))</f>
        <v>-0.1</v>
      </c>
      <c r="Q22" s="33">
        <f>IF(Forecast_Model!$D$5=1,0%,IF(Forecast_Model!$D$5=2,IF(AND(Q14&gt;=7,Q14&lt;=12),Assumptions!$D$27,IF(Q14&gt;=13,MIN(0%,P22+Assumptions!$D$31),0%)),IF(Forecast_Model!$D$5=3,IF(AND(Q14&gt;=6,Q14&lt;=15),Assumptions!$E$27,IF(Q14&gt;=16,MIN(0%,P22+Assumptions!$E$31),0%)))))</f>
        <v>-0.1</v>
      </c>
      <c r="R22" s="33">
        <f>IF(Forecast_Model!$D$5=1,0%,IF(Forecast_Model!$D$5=2,IF(AND(R14&gt;=7,R14&lt;=12),Assumptions!$D$27,IF(R14&gt;=13,MIN(0%,Q22+Assumptions!$D$31),0%)),IF(Forecast_Model!$D$5=3,IF(AND(R14&gt;=6,R14&lt;=15),Assumptions!$E$27,IF(R14&gt;=16,MIN(0%,Q22+Assumptions!$E$31),0%)))))</f>
        <v>-0.1</v>
      </c>
      <c r="S22" s="34">
        <f>IF(Forecast_Model!$D$5=1,0%,IF(Forecast_Model!$D$5=2,IF(AND(S14&gt;=7,S14&lt;=12),Assumptions!$D$27,IF(S14&gt;=13,MIN(0%,R22+Assumptions!$D$31),0%)),IF(Forecast_Model!$D$5=3,IF(AND(S14&gt;=6,S14&lt;=15),Assumptions!$E$27,IF(S14&gt;=16,MIN(0%,R22+Assumptions!$E$31),0%)))))</f>
        <v>-0.1</v>
      </c>
      <c r="T22" s="33">
        <f>IF(Forecast_Model!$D$5=1,0%,IF(Forecast_Model!$D$5=2,IF(AND(T14&gt;=7,T14&lt;=12),Assumptions!$D$27,IF(T14&gt;=13,MIN(0%,S22+Assumptions!$D$31),0%)),IF(Forecast_Model!$D$5=3,IF(AND(T14&gt;=6,T14&lt;=15),Assumptions!$E$27,IF(T14&gt;=16,MIN(0%,S22+Assumptions!$E$31),0%)))))</f>
        <v>-9.0000000000000011E-2</v>
      </c>
      <c r="U22" s="33">
        <f>IF(Forecast_Model!$D$5=1,0%,IF(Forecast_Model!$D$5=2,IF(AND(U14&gt;=7,U14&lt;=12),Assumptions!$D$27,IF(U14&gt;=13,MIN(0%,T22+Assumptions!$D$31),0%)),IF(Forecast_Model!$D$5=3,IF(AND(U14&gt;=6,U14&lt;=15),Assumptions!$E$27,IF(U14&gt;=16,MIN(0%,T22+Assumptions!$E$31),0%)))))</f>
        <v>-8.0000000000000016E-2</v>
      </c>
      <c r="V22" s="34">
        <f>IF(Forecast_Model!$D$5=1,0%,IF(Forecast_Model!$D$5=2,IF(AND(V14&gt;=7,V14&lt;=12),Assumptions!$D$27,IF(V14&gt;=13,MIN(0%,U22+Assumptions!$D$31),0%)),IF(Forecast_Model!$D$5=3,IF(AND(V14&gt;=6,V14&lt;=15),Assumptions!$E$27,IF(V14&gt;=16,MIN(0%,U22+Assumptions!$E$31),0%)))))</f>
        <v>-7.0000000000000021E-2</v>
      </c>
      <c r="W22" s="33">
        <f>IF(Forecast_Model!$D$5=1,0%,IF(Forecast_Model!$D$5=2,IF(AND(W14&gt;=7,W14&lt;=12),Assumptions!$D$27,IF(W14&gt;=13,MIN(0%,V22+Assumptions!$D$31),0%)),IF(Forecast_Model!$D$5=3,IF(AND(W14&gt;=6,W14&lt;=15),Assumptions!$E$27,IF(W14&gt;=16,MIN(0%,V22+Assumptions!$E$31),0%)))))</f>
        <v>-6.0000000000000019E-2</v>
      </c>
      <c r="X22" s="33">
        <f>IF(Forecast_Model!$D$5=1,0%,IF(Forecast_Model!$D$5=2,IF(AND(X14&gt;=7,X14&lt;=12),Assumptions!$D$27,IF(X14&gt;=13,MIN(0%,W22+Assumptions!$D$31),0%)),IF(Forecast_Model!$D$5=3,IF(AND(X14&gt;=6,X14&lt;=15),Assumptions!$E$27,IF(X14&gt;=16,MIN(0%,W22+Assumptions!$E$31),0%)))))</f>
        <v>-5.0000000000000017E-2</v>
      </c>
      <c r="Y22" s="34">
        <f>IF(Forecast_Model!$D$5=1,0%,IF(Forecast_Model!$D$5=2,IF(AND(Y14&gt;=7,Y14&lt;=12),Assumptions!$D$27,IF(Y14&gt;=13,MIN(0%,X22+Assumptions!$D$31),0%)),IF(Forecast_Model!$D$5=3,IF(AND(Y14&gt;=6,Y14&lt;=15),Assumptions!$E$27,IF(Y14&gt;=16,MIN(0%,X22+Assumptions!$E$31),0%)))))</f>
        <v>-4.0000000000000015E-2</v>
      </c>
      <c r="Z22" s="33">
        <f>IF(Forecast_Model!$D$5=1,0%,IF(Forecast_Model!$D$5=2,IF(AND(Z14&gt;=7,Z14&lt;=12),Assumptions!$D$27,IF(Z14&gt;=13,MIN(0%,Y22+Assumptions!$D$31),0%)),IF(Forecast_Model!$D$5=3,IF(AND(Z14&gt;=6,Z14&lt;=15),Assumptions!$E$27,IF(Z14&gt;=16,MIN(0%,Y22+Assumptions!$E$31),0%)))))</f>
        <v>-3.0000000000000013E-2</v>
      </c>
      <c r="AA22" s="33">
        <f>IF(Forecast_Model!$D$5=1,0%,IF(Forecast_Model!$D$5=2,IF(AND(AA14&gt;=7,AA14&lt;=12),Assumptions!$D$27,IF(AA14&gt;=13,MIN(0%,Z22+Assumptions!$D$31),0%)),IF(Forecast_Model!$D$5=3,IF(AND(AA14&gt;=6,AA14&lt;=15),Assumptions!$E$27,IF(AA14&gt;=16,MIN(0%,Z22+Assumptions!$E$31),0%)))))</f>
        <v>-2.0000000000000011E-2</v>
      </c>
      <c r="AB22" s="34">
        <f>IF(Forecast_Model!$D$5=1,0%,IF(Forecast_Model!$D$5=2,IF(AND(AB14&gt;=7,AB14&lt;=12),Assumptions!$D$27,IF(AB14&gt;=13,MIN(0%,AA22+Assumptions!$D$31),0%)),IF(Forecast_Model!$D$5=3,IF(AND(AB14&gt;=6,AB14&lt;=15),Assumptions!$E$27,IF(AB14&gt;=16,MIN(0%,AA22+Assumptions!$E$31),0%)))))</f>
        <v>-1.0000000000000011E-2</v>
      </c>
    </row>
    <row r="23" spans="3:64" ht="15.75" thickBot="1" x14ac:dyDescent="0.35">
      <c r="C23" s="4" t="s">
        <v>11</v>
      </c>
      <c r="D23" s="72"/>
      <c r="E23" s="44">
        <f>E21 * (1+E22)</f>
        <v>30000</v>
      </c>
      <c r="F23" s="45">
        <f t="shared" ref="F23:AB23" si="4">F21 * (1+F22)</f>
        <v>30000</v>
      </c>
      <c r="G23" s="46">
        <f t="shared" si="4"/>
        <v>30000</v>
      </c>
      <c r="H23" s="45">
        <f t="shared" si="4"/>
        <v>30000</v>
      </c>
      <c r="I23" s="45">
        <f t="shared" si="4"/>
        <v>30000</v>
      </c>
      <c r="J23" s="46">
        <f t="shared" si="4"/>
        <v>27000</v>
      </c>
      <c r="K23" s="45">
        <f t="shared" si="4"/>
        <v>27000</v>
      </c>
      <c r="L23" s="45">
        <f t="shared" si="4"/>
        <v>27000</v>
      </c>
      <c r="M23" s="46">
        <f t="shared" si="4"/>
        <v>27000</v>
      </c>
      <c r="N23" s="45">
        <f t="shared" si="4"/>
        <v>27000</v>
      </c>
      <c r="O23" s="45">
        <f t="shared" si="4"/>
        <v>27000</v>
      </c>
      <c r="P23" s="46">
        <f t="shared" si="4"/>
        <v>27000</v>
      </c>
      <c r="Q23" s="45">
        <f t="shared" si="4"/>
        <v>27540</v>
      </c>
      <c r="R23" s="45">
        <f t="shared" si="4"/>
        <v>27540</v>
      </c>
      <c r="S23" s="46">
        <f t="shared" si="4"/>
        <v>27540</v>
      </c>
      <c r="T23" s="45">
        <f t="shared" si="4"/>
        <v>27846</v>
      </c>
      <c r="U23" s="45">
        <f t="shared" si="4"/>
        <v>28151.999999999996</v>
      </c>
      <c r="V23" s="46">
        <f t="shared" si="4"/>
        <v>28457.999999999996</v>
      </c>
      <c r="W23" s="45">
        <f t="shared" si="4"/>
        <v>28764</v>
      </c>
      <c r="X23" s="45">
        <f t="shared" si="4"/>
        <v>29070</v>
      </c>
      <c r="Y23" s="46">
        <f t="shared" si="4"/>
        <v>29376</v>
      </c>
      <c r="Z23" s="45">
        <f t="shared" si="4"/>
        <v>29682</v>
      </c>
      <c r="AA23" s="45">
        <f t="shared" si="4"/>
        <v>29988</v>
      </c>
      <c r="AB23" s="46">
        <f t="shared" si="4"/>
        <v>30294</v>
      </c>
    </row>
    <row r="24" spans="3:64" ht="10.5" customHeight="1" thickTop="1" x14ac:dyDescent="0.3">
      <c r="E24" s="30"/>
      <c r="F24" s="11"/>
      <c r="G24" s="31"/>
      <c r="H24" s="11"/>
      <c r="I24" s="11"/>
      <c r="J24" s="31"/>
      <c r="K24" s="11"/>
      <c r="L24" s="11"/>
      <c r="M24" s="31"/>
      <c r="N24" s="11"/>
      <c r="O24" s="11"/>
      <c r="P24" s="31"/>
      <c r="Q24" s="11"/>
      <c r="R24" s="11"/>
      <c r="S24" s="31"/>
      <c r="T24" s="11"/>
      <c r="U24" s="11"/>
      <c r="V24" s="31"/>
      <c r="W24" s="11"/>
      <c r="X24" s="11"/>
      <c r="Y24" s="31"/>
      <c r="Z24" s="11"/>
      <c r="AA24" s="11"/>
      <c r="AB24" s="31"/>
    </row>
    <row r="25" spans="3:64" x14ac:dyDescent="0.3">
      <c r="C25" s="5" t="s">
        <v>12</v>
      </c>
      <c r="E25" s="30">
        <f>Assumptions!$C$9</f>
        <v>16500</v>
      </c>
      <c r="F25" s="11">
        <f>E25*(1+Assumptions!$D$16)</f>
        <v>16580.31458432816</v>
      </c>
      <c r="G25" s="31">
        <f>F25*(1+Assumptions!$D$16)</f>
        <v>16661.020103956671</v>
      </c>
      <c r="H25" s="11">
        <f>G25*(1+Assumptions!$D$16)</f>
        <v>16742.118461782877</v>
      </c>
      <c r="I25" s="11">
        <f>H25*(1+Assumptions!$D$16)</f>
        <v>16823.611569966568</v>
      </c>
      <c r="J25" s="31">
        <f>I25*(1+Assumptions!$D$16)</f>
        <v>16905.501349975071</v>
      </c>
      <c r="K25" s="11">
        <f>J25*(1+Assumptions!$D$16)</f>
        <v>16987.789732628549</v>
      </c>
      <c r="L25" s="11">
        <f>K25*(1+Assumptions!$D$16)</f>
        <v>17070.478658145534</v>
      </c>
      <c r="M25" s="31">
        <f>L25*(1+Assumptions!$D$16)</f>
        <v>17153.570076188666</v>
      </c>
      <c r="N25" s="11">
        <f>M25*(1+Assumptions!$D$16)</f>
        <v>17237.065945910668</v>
      </c>
      <c r="O25" s="11">
        <f>N25*(1+Assumptions!$D$16)</f>
        <v>17320.968236000543</v>
      </c>
      <c r="P25" s="31">
        <f>O25*(1+Assumptions!$D$16)</f>
        <v>17405.278924729977</v>
      </c>
      <c r="Q25" s="11">
        <f>P25*(1+Assumptions!$D$16)</f>
        <v>17490</v>
      </c>
      <c r="R25" s="11">
        <f>Q25*(1+Assumptions!$D$16)</f>
        <v>17575.133459387849</v>
      </c>
      <c r="S25" s="31">
        <f>R25*(1+Assumptions!$D$16)</f>
        <v>17660.681310194072</v>
      </c>
      <c r="T25" s="11">
        <f>S25*(1+Assumptions!$D$16)</f>
        <v>17746.64556948985</v>
      </c>
      <c r="U25" s="11">
        <f>T25*(1+Assumptions!$D$16)</f>
        <v>17833.028264164564</v>
      </c>
      <c r="V25" s="31">
        <f>U25*(1+Assumptions!$D$16)</f>
        <v>17919.831430973576</v>
      </c>
      <c r="W25" s="11">
        <f>V25*(1+Assumptions!$D$16)</f>
        <v>18007.057116586264</v>
      </c>
      <c r="X25" s="11">
        <f>W25*(1+Assumptions!$D$16)</f>
        <v>18094.70737763427</v>
      </c>
      <c r="Y25" s="31">
        <f>X25*(1+Assumptions!$D$16)</f>
        <v>18182.784280759992</v>
      </c>
      <c r="Z25" s="11">
        <f>Y25*(1+Assumptions!$D$16)</f>
        <v>18271.289902665314</v>
      </c>
      <c r="AA25" s="11">
        <f>Z25*(1+Assumptions!$D$16)</f>
        <v>18360.226330160578</v>
      </c>
      <c r="AB25" s="31">
        <f>AA25*(1+Assumptions!$D$16)</f>
        <v>18449.595660213778</v>
      </c>
    </row>
    <row r="26" spans="3:64" x14ac:dyDescent="0.3">
      <c r="C26" s="5" t="s">
        <v>13</v>
      </c>
      <c r="E26" s="30">
        <f>Assumptions!$C$10</f>
        <v>750</v>
      </c>
      <c r="F26" s="11">
        <f>E26 * (1+Assumptions!$D$17)</f>
        <v>753.0555928377363</v>
      </c>
      <c r="G26" s="31">
        <f>F26 * (1+Assumptions!$D$17)</f>
        <v>756.1236345389259</v>
      </c>
      <c r="H26" s="11">
        <f>G26 * (1+Assumptions!$D$17)</f>
        <v>759.20417582177959</v>
      </c>
      <c r="I26" s="11">
        <f>H26 * (1+Assumptions!$D$17)</f>
        <v>762.29726761114023</v>
      </c>
      <c r="J26" s="31">
        <f>I26 * (1+Assumptions!$D$17)</f>
        <v>765.40296103932496</v>
      </c>
      <c r="K26" s="11">
        <f>J26 * (1+Assumptions!$D$17)</f>
        <v>768.52130744697013</v>
      </c>
      <c r="L26" s="11">
        <f>K26 * (1+Assumptions!$D$17)</f>
        <v>771.65235838388037</v>
      </c>
      <c r="M26" s="31">
        <f>L26 * (1+Assumptions!$D$17)</f>
        <v>774.79616560988052</v>
      </c>
      <c r="N26" s="11">
        <f>M26 * (1+Assumptions!$D$17)</f>
        <v>777.9527810956713</v>
      </c>
      <c r="O26" s="11">
        <f>N26 * (1+Assumptions!$D$17)</f>
        <v>781.12225702368858</v>
      </c>
      <c r="P26" s="31">
        <f>O26 * (1+Assumptions!$D$17)</f>
        <v>784.3046457889659</v>
      </c>
      <c r="Q26" s="11">
        <f>P26 * (1+Assumptions!$D$17)</f>
        <v>787.50000000000057</v>
      </c>
      <c r="R26" s="11">
        <f>Q26 * (1+Assumptions!$D$17)</f>
        <v>790.70837247962368</v>
      </c>
      <c r="S26" s="31">
        <f>R26 * (1+Assumptions!$D$17)</f>
        <v>793.92981626587277</v>
      </c>
      <c r="T26" s="11">
        <f>S26 * (1+Assumptions!$D$17)</f>
        <v>797.16438461286918</v>
      </c>
      <c r="U26" s="11">
        <f>T26 * (1+Assumptions!$D$17)</f>
        <v>800.41213099169784</v>
      </c>
      <c r="V26" s="31">
        <f>U26 * (1+Assumptions!$D$17)</f>
        <v>803.67310909129174</v>
      </c>
      <c r="W26" s="11">
        <f>V26 * (1+Assumptions!$D$17)</f>
        <v>806.94737281931918</v>
      </c>
      <c r="X26" s="11">
        <f>W26 * (1+Assumptions!$D$17)</f>
        <v>810.23497630307497</v>
      </c>
      <c r="Y26" s="31">
        <f>X26 * (1+Assumptions!$D$17)</f>
        <v>813.53597389037509</v>
      </c>
      <c r="Z26" s="11">
        <f>Y26 * (1+Assumptions!$D$17)</f>
        <v>816.85042015045542</v>
      </c>
      <c r="AA26" s="11">
        <f>Z26 * (1+Assumptions!$D$17)</f>
        <v>820.17836987487351</v>
      </c>
      <c r="AB26" s="31">
        <f>AA26 * (1+Assumptions!$D$17)</f>
        <v>823.51987807841465</v>
      </c>
    </row>
    <row r="27" spans="3:64" x14ac:dyDescent="0.3">
      <c r="C27" s="5" t="s">
        <v>14</v>
      </c>
      <c r="E27" s="30">
        <f>Assumptions!$C$11</f>
        <v>1250</v>
      </c>
      <c r="F27" s="11">
        <f>E27*(1+Assumptions!$D$18)</f>
        <v>1253.0828372153796</v>
      </c>
      <c r="G27" s="31">
        <f>F27*(1+Assumptions!$D$18)</f>
        <v>1256.1732775389964</v>
      </c>
      <c r="H27" s="11">
        <f>G27*(1+Assumptions!$D$18)</f>
        <v>1259.2713397221664</v>
      </c>
      <c r="I27" s="11">
        <f>H27*(1+Assumptions!$D$18)</f>
        <v>1262.3770425624516</v>
      </c>
      <c r="J27" s="31">
        <f>I27*(1+Assumptions!$D$18)</f>
        <v>1265.4904049037734</v>
      </c>
      <c r="K27" s="11">
        <f>J27*(1+Assumptions!$D$18)</f>
        <v>1268.6114456365281</v>
      </c>
      <c r="L27" s="11">
        <f>K27*(1+Assumptions!$D$18)</f>
        <v>1271.7401836976999</v>
      </c>
      <c r="M27" s="31">
        <f>L27*(1+Assumptions!$D$18)</f>
        <v>1274.8766380709774</v>
      </c>
      <c r="N27" s="11">
        <f>M27*(1+Assumptions!$D$18)</f>
        <v>1278.020827786868</v>
      </c>
      <c r="O27" s="11">
        <f>N27*(1+Assumptions!$D$18)</f>
        <v>1281.1727719228134</v>
      </c>
      <c r="P27" s="31">
        <f>O27*(1+Assumptions!$D$18)</f>
        <v>1284.332489603305</v>
      </c>
      <c r="Q27" s="11">
        <f>P27*(1+Assumptions!$D$18)</f>
        <v>1287.5000000000011</v>
      </c>
      <c r="R27" s="11">
        <f>Q27*(1+Assumptions!$D$18)</f>
        <v>1290.6753223318422</v>
      </c>
      <c r="S27" s="31">
        <f>R27*(1+Assumptions!$D$18)</f>
        <v>1293.8584758651675</v>
      </c>
      <c r="T27" s="11">
        <f>S27*(1+Assumptions!$D$18)</f>
        <v>1297.0494799138328</v>
      </c>
      <c r="U27" s="11">
        <f>T27*(1+Assumptions!$D$18)</f>
        <v>1300.2483538393265</v>
      </c>
      <c r="V27" s="31">
        <f>U27*(1+Assumptions!$D$18)</f>
        <v>1303.455117050888</v>
      </c>
      <c r="W27" s="11">
        <f>V27*(1+Assumptions!$D$18)</f>
        <v>1306.6697890056253</v>
      </c>
      <c r="X27" s="11">
        <f>W27*(1+Assumptions!$D$18)</f>
        <v>1309.8923892086323</v>
      </c>
      <c r="Y27" s="31">
        <f>X27*(1+Assumptions!$D$18)</f>
        <v>1313.1229372131081</v>
      </c>
      <c r="Z27" s="11">
        <f>Y27*(1+Assumptions!$D$18)</f>
        <v>1316.3614526204753</v>
      </c>
      <c r="AA27" s="11">
        <f>Z27*(1+Assumptions!$D$18)</f>
        <v>1319.6079550804991</v>
      </c>
      <c r="AB27" s="31">
        <f>AA27*(1+Assumptions!$D$18)</f>
        <v>1322.8624642914056</v>
      </c>
    </row>
    <row r="28" spans="3:64" ht="15.75" thickBot="1" x14ac:dyDescent="0.35">
      <c r="C28" s="4" t="s">
        <v>15</v>
      </c>
      <c r="D28" s="72"/>
      <c r="E28" s="44">
        <f>SUM(E25:E27)</f>
        <v>18500</v>
      </c>
      <c r="F28" s="45">
        <f t="shared" ref="F28:AB28" si="5">SUM(F25:F27)</f>
        <v>18586.453014381277</v>
      </c>
      <c r="G28" s="46">
        <f t="shared" si="5"/>
        <v>18673.317016034594</v>
      </c>
      <c r="H28" s="45">
        <f t="shared" si="5"/>
        <v>18760.593977326822</v>
      </c>
      <c r="I28" s="45">
        <f t="shared" si="5"/>
        <v>18848.28588014016</v>
      </c>
      <c r="J28" s="46">
        <f t="shared" si="5"/>
        <v>18936.39471591817</v>
      </c>
      <c r="K28" s="45">
        <f t="shared" si="5"/>
        <v>19024.922485712046</v>
      </c>
      <c r="L28" s="45">
        <f t="shared" si="5"/>
        <v>19113.871200227113</v>
      </c>
      <c r="M28" s="46">
        <f t="shared" si="5"/>
        <v>19203.242879869525</v>
      </c>
      <c r="N28" s="45">
        <f t="shared" si="5"/>
        <v>19293.039554793209</v>
      </c>
      <c r="O28" s="45">
        <f t="shared" si="5"/>
        <v>19383.263264947047</v>
      </c>
      <c r="P28" s="46">
        <f t="shared" si="5"/>
        <v>19473.916060122247</v>
      </c>
      <c r="Q28" s="45">
        <f t="shared" si="5"/>
        <v>19565</v>
      </c>
      <c r="R28" s="45">
        <f t="shared" si="5"/>
        <v>19656.517154199315</v>
      </c>
      <c r="S28" s="46">
        <f t="shared" si="5"/>
        <v>19748.469602325113</v>
      </c>
      <c r="T28" s="45">
        <f t="shared" si="5"/>
        <v>19840.859434016551</v>
      </c>
      <c r="U28" s="45">
        <f t="shared" si="5"/>
        <v>19933.688748995592</v>
      </c>
      <c r="V28" s="46">
        <f t="shared" si="5"/>
        <v>20026.959657115756</v>
      </c>
      <c r="W28" s="45">
        <f t="shared" si="5"/>
        <v>20120.674278411207</v>
      </c>
      <c r="X28" s="45">
        <f t="shared" si="5"/>
        <v>20214.834743145977</v>
      </c>
      <c r="Y28" s="46">
        <f t="shared" si="5"/>
        <v>20309.443191863476</v>
      </c>
      <c r="Z28" s="45">
        <f t="shared" si="5"/>
        <v>20404.501775436245</v>
      </c>
      <c r="AA28" s="45">
        <f t="shared" si="5"/>
        <v>20500.012655115952</v>
      </c>
      <c r="AB28" s="46">
        <f t="shared" si="5"/>
        <v>20595.978002583601</v>
      </c>
    </row>
    <row r="29" spans="3:64" ht="15.75" thickTop="1" x14ac:dyDescent="0.3">
      <c r="E29" s="40"/>
      <c r="F29" s="11"/>
      <c r="G29" s="11"/>
      <c r="H29" s="40"/>
      <c r="I29" s="11"/>
      <c r="J29" s="11"/>
      <c r="K29" s="40"/>
      <c r="L29" s="11"/>
      <c r="M29" s="11"/>
      <c r="N29" s="40"/>
      <c r="O29" s="11"/>
      <c r="P29" s="11"/>
      <c r="Q29" s="40"/>
      <c r="R29" s="11"/>
      <c r="S29" s="11"/>
      <c r="T29" s="40"/>
      <c r="U29" s="11"/>
      <c r="V29" s="11"/>
      <c r="W29" s="40"/>
      <c r="X29" s="11"/>
      <c r="Y29" s="11"/>
      <c r="Z29" s="40"/>
      <c r="AA29" s="11"/>
      <c r="AB29" s="11"/>
    </row>
    <row r="30" spans="3:64" x14ac:dyDescent="0.3">
      <c r="C30" s="4" t="s">
        <v>16</v>
      </c>
      <c r="E30" s="22">
        <f t="shared" ref="E30:AB30" si="6">E19*E28</f>
        <v>364820000</v>
      </c>
      <c r="F30" s="23">
        <f t="shared" si="6"/>
        <v>394590397.49531454</v>
      </c>
      <c r="G30" s="24">
        <f t="shared" si="6"/>
        <v>371225542.27876776</v>
      </c>
      <c r="H30" s="23">
        <f t="shared" si="6"/>
        <v>375211879.54653645</v>
      </c>
      <c r="I30" s="23">
        <f t="shared" si="6"/>
        <v>376965717.60280317</v>
      </c>
      <c r="J30" s="24">
        <f t="shared" si="6"/>
        <v>265109526.02285439</v>
      </c>
      <c r="K30" s="23">
        <f t="shared" si="6"/>
        <v>266348914.79996866</v>
      </c>
      <c r="L30" s="23">
        <f t="shared" si="6"/>
        <v>267594196.80317959</v>
      </c>
      <c r="M30" s="24">
        <f t="shared" si="6"/>
        <v>268845400.31817335</v>
      </c>
      <c r="N30" s="23">
        <f t="shared" si="6"/>
        <v>270102553.76710492</v>
      </c>
      <c r="O30" s="23">
        <f t="shared" si="6"/>
        <v>271365685.70925868</v>
      </c>
      <c r="P30" s="24">
        <f t="shared" si="6"/>
        <v>272634824.84171146</v>
      </c>
      <c r="Q30" s="23">
        <f t="shared" si="6"/>
        <v>273910000</v>
      </c>
      <c r="R30" s="23">
        <f t="shared" si="6"/>
        <v>275191240.15879041</v>
      </c>
      <c r="S30" s="24">
        <f t="shared" si="6"/>
        <v>276478574.43255156</v>
      </c>
      <c r="T30" s="23">
        <f t="shared" si="6"/>
        <v>280152935.2083137</v>
      </c>
      <c r="U30" s="23">
        <f t="shared" si="6"/>
        <v>283855727.78569722</v>
      </c>
      <c r="V30" s="24">
        <f t="shared" si="6"/>
        <v>287587140.67618227</v>
      </c>
      <c r="W30" s="23">
        <f t="shared" si="6"/>
        <v>291347363.55139428</v>
      </c>
      <c r="X30" s="23">
        <f t="shared" si="6"/>
        <v>295136587.24993128</v>
      </c>
      <c r="Y30" s="24">
        <f t="shared" si="6"/>
        <v>298955003.78423035</v>
      </c>
      <c r="Z30" s="23">
        <f t="shared" si="6"/>
        <v>302802806.34747386</v>
      </c>
      <c r="AA30" s="23">
        <f t="shared" si="6"/>
        <v>306680189.32053465</v>
      </c>
      <c r="AB30" s="24">
        <f t="shared" si="6"/>
        <v>310587348.2789607</v>
      </c>
    </row>
    <row r="31" spans="3:64" ht="12.75" customHeight="1" x14ac:dyDescent="0.3"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3:64" x14ac:dyDescent="0.3">
      <c r="C32" s="4" t="s">
        <v>17</v>
      </c>
      <c r="E32" s="25">
        <f t="shared" ref="E32:AB32" si="7">E19*E23</f>
        <v>591600000</v>
      </c>
      <c r="F32" s="26">
        <f t="shared" si="7"/>
        <v>636900000</v>
      </c>
      <c r="G32" s="27">
        <f t="shared" si="7"/>
        <v>596400000</v>
      </c>
      <c r="H32" s="26">
        <f t="shared" si="7"/>
        <v>600000000</v>
      </c>
      <c r="I32" s="26">
        <f t="shared" si="7"/>
        <v>600000000</v>
      </c>
      <c r="J32" s="27">
        <f t="shared" si="7"/>
        <v>378000000</v>
      </c>
      <c r="K32" s="26">
        <f t="shared" si="7"/>
        <v>378000000</v>
      </c>
      <c r="L32" s="26">
        <f t="shared" si="7"/>
        <v>378000000</v>
      </c>
      <c r="M32" s="27">
        <f t="shared" si="7"/>
        <v>378000000</v>
      </c>
      <c r="N32" s="26">
        <f t="shared" si="7"/>
        <v>378000000</v>
      </c>
      <c r="O32" s="26">
        <f t="shared" si="7"/>
        <v>378000000</v>
      </c>
      <c r="P32" s="27">
        <f t="shared" si="7"/>
        <v>378000000</v>
      </c>
      <c r="Q32" s="26">
        <f t="shared" si="7"/>
        <v>385560000</v>
      </c>
      <c r="R32" s="26">
        <f t="shared" si="7"/>
        <v>385560000</v>
      </c>
      <c r="S32" s="27">
        <f t="shared" si="7"/>
        <v>385560000</v>
      </c>
      <c r="T32" s="26">
        <f t="shared" si="7"/>
        <v>393185520</v>
      </c>
      <c r="U32" s="26">
        <f t="shared" si="7"/>
        <v>400884479.99999994</v>
      </c>
      <c r="V32" s="27">
        <f t="shared" si="7"/>
        <v>408656879.99999994</v>
      </c>
      <c r="W32" s="26">
        <f t="shared" si="7"/>
        <v>416502720</v>
      </c>
      <c r="X32" s="26">
        <f t="shared" si="7"/>
        <v>424422000</v>
      </c>
      <c r="Y32" s="27">
        <f t="shared" si="7"/>
        <v>432414720</v>
      </c>
      <c r="Z32" s="26">
        <f t="shared" si="7"/>
        <v>440480880</v>
      </c>
      <c r="AA32" s="26">
        <f t="shared" si="7"/>
        <v>448620480</v>
      </c>
      <c r="AB32" s="27">
        <f t="shared" si="7"/>
        <v>456833520</v>
      </c>
    </row>
    <row r="33" spans="1:28" x14ac:dyDescent="0.3">
      <c r="C33" s="4" t="s">
        <v>18</v>
      </c>
      <c r="E33" s="41">
        <f>Assumptions!$C$13</f>
        <v>160000000</v>
      </c>
      <c r="F33" s="42">
        <f>E33 * (1+Assumptions!$D$20)</f>
        <v>160394603.16356859</v>
      </c>
      <c r="G33" s="43">
        <f>F33 * (1+Assumptions!$D$20)</f>
        <v>160790179.52499154</v>
      </c>
      <c r="H33" s="42">
        <f>G33 * (1+Assumptions!$D$20)</f>
        <v>161186731.48443732</v>
      </c>
      <c r="I33" s="42">
        <f>H33 * (1+Assumptions!$D$20)</f>
        <v>161584261.44799381</v>
      </c>
      <c r="J33" s="43">
        <f>I33 * (1+Assumptions!$D$20)</f>
        <v>161982771.82768303</v>
      </c>
      <c r="K33" s="42">
        <f>J33 * (1+Assumptions!$D$20)</f>
        <v>162382265.04147562</v>
      </c>
      <c r="L33" s="42">
        <f>K33 * (1+Assumptions!$D$20)</f>
        <v>162782743.51330563</v>
      </c>
      <c r="M33" s="43">
        <f>L33 * (1+Assumptions!$D$20)</f>
        <v>163184209.67308515</v>
      </c>
      <c r="N33" s="42">
        <f>M33 * (1+Assumptions!$D$20)</f>
        <v>163586665.95671916</v>
      </c>
      <c r="O33" s="42">
        <f>N33 * (1+Assumptions!$D$20)</f>
        <v>163990114.80612016</v>
      </c>
      <c r="P33" s="43">
        <f>O33 * (1+Assumptions!$D$20)</f>
        <v>164394558.6692231</v>
      </c>
      <c r="Q33" s="42">
        <f>P33 * (1+Assumptions!$D$20)</f>
        <v>164800000.00000021</v>
      </c>
      <c r="R33" s="42">
        <f>Q33 * (1+Assumptions!$D$20)</f>
        <v>165206441.25847587</v>
      </c>
      <c r="S33" s="43">
        <f>R33 * (1+Assumptions!$D$20)</f>
        <v>165613884.91074151</v>
      </c>
      <c r="T33" s="42">
        <f>S33 * (1+Assumptions!$D$20)</f>
        <v>166022333.42897066</v>
      </c>
      <c r="U33" s="42">
        <f>T33 * (1+Assumptions!$D$20)</f>
        <v>166431789.29143387</v>
      </c>
      <c r="V33" s="43">
        <f>U33 * (1+Assumptions!$D$20)</f>
        <v>166842254.98251376</v>
      </c>
      <c r="W33" s="42">
        <f>V33 * (1+Assumptions!$D$20)</f>
        <v>167253732.99272013</v>
      </c>
      <c r="X33" s="42">
        <f>W33 * (1+Assumptions!$D$20)</f>
        <v>167666225.81870502</v>
      </c>
      <c r="Y33" s="43">
        <f>X33 * (1+Assumptions!$D$20)</f>
        <v>168079735.96327794</v>
      </c>
      <c r="Z33" s="42">
        <f>Y33 * (1+Assumptions!$D$20)</f>
        <v>168494265.93542096</v>
      </c>
      <c r="AA33" s="42">
        <f>Z33 * (1+Assumptions!$D$20)</f>
        <v>168909818.25030398</v>
      </c>
      <c r="AB33" s="43">
        <f>AA33 * (1+Assumptions!$D$20)</f>
        <v>169326395.42930001</v>
      </c>
    </row>
    <row r="34" spans="1:28" ht="13.5" customHeight="1" x14ac:dyDescent="0.3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">
      <c r="C35" s="4" t="s">
        <v>123</v>
      </c>
      <c r="E35" s="25">
        <f>E32-E30</f>
        <v>226780000</v>
      </c>
      <c r="F35" s="26">
        <f t="shared" ref="F35:AB35" si="8">F32-F30</f>
        <v>242309602.50468546</v>
      </c>
      <c r="G35" s="27">
        <f t="shared" si="8"/>
        <v>225174457.72123224</v>
      </c>
      <c r="H35" s="26">
        <f t="shared" si="8"/>
        <v>224788120.45346355</v>
      </c>
      <c r="I35" s="26">
        <f t="shared" si="8"/>
        <v>223034282.39719683</v>
      </c>
      <c r="J35" s="27">
        <f t="shared" si="8"/>
        <v>112890473.97714561</v>
      </c>
      <c r="K35" s="26">
        <f t="shared" si="8"/>
        <v>111651085.20003134</v>
      </c>
      <c r="L35" s="26">
        <f t="shared" si="8"/>
        <v>110405803.19682041</v>
      </c>
      <c r="M35" s="27">
        <f t="shared" si="8"/>
        <v>109154599.68182665</v>
      </c>
      <c r="N35" s="26">
        <f t="shared" si="8"/>
        <v>107897446.23289508</v>
      </c>
      <c r="O35" s="26">
        <f t="shared" si="8"/>
        <v>106634314.29074132</v>
      </c>
      <c r="P35" s="27">
        <f t="shared" si="8"/>
        <v>105365175.15828854</v>
      </c>
      <c r="Q35" s="26">
        <f t="shared" si="8"/>
        <v>111650000</v>
      </c>
      <c r="R35" s="26">
        <f t="shared" si="8"/>
        <v>110368759.84120959</v>
      </c>
      <c r="S35" s="27">
        <f t="shared" si="8"/>
        <v>109081425.56744844</v>
      </c>
      <c r="T35" s="26">
        <f t="shared" si="8"/>
        <v>113032584.7916863</v>
      </c>
      <c r="U35" s="26">
        <f t="shared" si="8"/>
        <v>117028752.21430272</v>
      </c>
      <c r="V35" s="27">
        <f t="shared" si="8"/>
        <v>121069739.32381767</v>
      </c>
      <c r="W35" s="26">
        <f t="shared" si="8"/>
        <v>125155356.44860572</v>
      </c>
      <c r="X35" s="26">
        <f t="shared" si="8"/>
        <v>129285412.75006872</v>
      </c>
      <c r="Y35" s="27">
        <f t="shared" si="8"/>
        <v>133459716.21576965</v>
      </c>
      <c r="Z35" s="26">
        <f t="shared" si="8"/>
        <v>137678073.65252614</v>
      </c>
      <c r="AA35" s="26">
        <f t="shared" si="8"/>
        <v>141940290.67946535</v>
      </c>
      <c r="AB35" s="27">
        <f t="shared" si="8"/>
        <v>146246171.7210393</v>
      </c>
    </row>
    <row r="36" spans="1:28" x14ac:dyDescent="0.3">
      <c r="C36" s="4" t="s">
        <v>19</v>
      </c>
      <c r="E36" s="30">
        <f>E32-E30-E33</f>
        <v>66780000</v>
      </c>
      <c r="F36" s="11">
        <f t="shared" ref="F36:AB36" si="9">F32-F30-F33</f>
        <v>81914999.341116875</v>
      </c>
      <c r="G36" s="31">
        <f t="shared" si="9"/>
        <v>64384278.196240693</v>
      </c>
      <c r="H36" s="11">
        <f t="shared" si="9"/>
        <v>63601388.969026238</v>
      </c>
      <c r="I36" s="11">
        <f t="shared" si="9"/>
        <v>61450020.949203014</v>
      </c>
      <c r="J36" s="31">
        <f t="shared" si="9"/>
        <v>-49092297.850537419</v>
      </c>
      <c r="K36" s="11">
        <f t="shared" si="9"/>
        <v>-50731179.841444284</v>
      </c>
      <c r="L36" s="11">
        <f t="shared" si="9"/>
        <v>-52376940.316485226</v>
      </c>
      <c r="M36" s="31">
        <f t="shared" si="9"/>
        <v>-54029609.991258502</v>
      </c>
      <c r="N36" s="11">
        <f t="shared" si="9"/>
        <v>-55689219.723824084</v>
      </c>
      <c r="O36" s="11">
        <f t="shared" si="9"/>
        <v>-57355800.515378833</v>
      </c>
      <c r="P36" s="31">
        <f t="shared" si="9"/>
        <v>-59029383.510934561</v>
      </c>
      <c r="Q36" s="11">
        <f t="shared" si="9"/>
        <v>-53150000.000000209</v>
      </c>
      <c r="R36" s="11">
        <f t="shared" si="9"/>
        <v>-54837681.417266279</v>
      </c>
      <c r="S36" s="31">
        <f t="shared" si="9"/>
        <v>-56532459.343293071</v>
      </c>
      <c r="T36" s="11">
        <f t="shared" si="9"/>
        <v>-52989748.637284368</v>
      </c>
      <c r="U36" s="11">
        <f t="shared" si="9"/>
        <v>-49403037.077131152</v>
      </c>
      <c r="V36" s="31">
        <f t="shared" si="9"/>
        <v>-45772515.658696085</v>
      </c>
      <c r="W36" s="11">
        <f t="shared" si="9"/>
        <v>-42098376.544114411</v>
      </c>
      <c r="X36" s="11">
        <f t="shared" si="9"/>
        <v>-38380813.068636298</v>
      </c>
      <c r="Y36" s="31">
        <f t="shared" si="9"/>
        <v>-34620019.747508287</v>
      </c>
      <c r="Z36" s="11">
        <f t="shared" si="9"/>
        <v>-30816192.28289482</v>
      </c>
      <c r="AA36" s="11">
        <f t="shared" si="9"/>
        <v>-26969527.57083863</v>
      </c>
      <c r="AB36" s="31">
        <f t="shared" si="9"/>
        <v>-23080223.708260715</v>
      </c>
    </row>
    <row r="37" spans="1:28" x14ac:dyDescent="0.3">
      <c r="C37" s="4" t="s">
        <v>20</v>
      </c>
      <c r="E37" s="32">
        <f>E36/E32</f>
        <v>0.11288032454361055</v>
      </c>
      <c r="F37" s="33">
        <f t="shared" ref="F37:AB37" si="10">F36/F32</f>
        <v>0.12861516618168767</v>
      </c>
      <c r="G37" s="34">
        <f t="shared" si="10"/>
        <v>0.10795485948397165</v>
      </c>
      <c r="H37" s="33">
        <f t="shared" si="10"/>
        <v>0.10600231494837706</v>
      </c>
      <c r="I37" s="33">
        <f t="shared" si="10"/>
        <v>0.10241670158200503</v>
      </c>
      <c r="J37" s="34">
        <f t="shared" si="10"/>
        <v>-0.12987380383740058</v>
      </c>
      <c r="K37" s="33">
        <f t="shared" si="10"/>
        <v>-0.13420947048001133</v>
      </c>
      <c r="L37" s="33">
        <f t="shared" si="10"/>
        <v>-0.13856333417059583</v>
      </c>
      <c r="M37" s="34">
        <f t="shared" si="10"/>
        <v>-0.14293547616735053</v>
      </c>
      <c r="N37" s="33">
        <f t="shared" si="10"/>
        <v>-0.14732597810535472</v>
      </c>
      <c r="O37" s="33">
        <f t="shared" si="10"/>
        <v>-0.1517349219983567</v>
      </c>
      <c r="P37" s="34">
        <f t="shared" si="10"/>
        <v>-0.15616239024056763</v>
      </c>
      <c r="Q37" s="33">
        <f t="shared" si="10"/>
        <v>-0.13785143687104526</v>
      </c>
      <c r="R37" s="33">
        <f t="shared" si="10"/>
        <v>-0.14222865810059726</v>
      </c>
      <c r="S37" s="34">
        <f t="shared" si="10"/>
        <v>-0.14662428504848291</v>
      </c>
      <c r="T37" s="33">
        <f t="shared" si="10"/>
        <v>-0.13477034616453926</v>
      </c>
      <c r="U37" s="33">
        <f t="shared" si="10"/>
        <v>-0.12323509525021063</v>
      </c>
      <c r="V37" s="34">
        <f t="shared" si="10"/>
        <v>-0.11200720677624733</v>
      </c>
      <c r="W37" s="33">
        <f t="shared" si="10"/>
        <v>-0.1010758742322605</v>
      </c>
      <c r="X37" s="33">
        <f t="shared" si="10"/>
        <v>-9.0430781318207587E-2</v>
      </c>
      <c r="Y37" s="34">
        <f t="shared" si="10"/>
        <v>-8.0062075008705269E-2</v>
      </c>
      <c r="Z37" s="33">
        <f t="shared" si="10"/>
        <v>-6.996034035097011E-2</v>
      </c>
      <c r="AA37" s="33">
        <f t="shared" si="10"/>
        <v>-6.0116576868801508E-2</v>
      </c>
      <c r="AB37" s="34">
        <f t="shared" si="10"/>
        <v>-5.0522176455573387E-2</v>
      </c>
    </row>
    <row r="38" spans="1:28" x14ac:dyDescent="0.3">
      <c r="C38" s="4" t="s">
        <v>39</v>
      </c>
      <c r="E38" s="35">
        <f>(E32-E30)/E32</f>
        <v>0.38333333333333336</v>
      </c>
      <c r="F38" s="36">
        <f t="shared" ref="F38:AB38" si="11">(F32-F30)/F32</f>
        <v>0.3804515661872907</v>
      </c>
      <c r="G38" s="37">
        <f t="shared" si="11"/>
        <v>0.37755609946551349</v>
      </c>
      <c r="H38" s="36">
        <f t="shared" si="11"/>
        <v>0.37464686742243924</v>
      </c>
      <c r="I38" s="36">
        <f t="shared" si="11"/>
        <v>0.37172380399532806</v>
      </c>
      <c r="J38" s="37">
        <f t="shared" si="11"/>
        <v>0.29865204755858626</v>
      </c>
      <c r="K38" s="36">
        <f t="shared" si="11"/>
        <v>0.2953732412699242</v>
      </c>
      <c r="L38" s="36">
        <f t="shared" si="11"/>
        <v>0.29207884443603283</v>
      </c>
      <c r="M38" s="37">
        <f t="shared" si="11"/>
        <v>0.28876878222705465</v>
      </c>
      <c r="N38" s="36">
        <f t="shared" si="11"/>
        <v>0.2854429794521034</v>
      </c>
      <c r="O38" s="36">
        <f t="shared" si="11"/>
        <v>0.28210136055751672</v>
      </c>
      <c r="P38" s="37">
        <f t="shared" si="11"/>
        <v>0.27874384962510196</v>
      </c>
      <c r="Q38" s="36">
        <f t="shared" si="11"/>
        <v>0.28957879448075524</v>
      </c>
      <c r="R38" s="36">
        <f t="shared" si="11"/>
        <v>0.286255731510555</v>
      </c>
      <c r="S38" s="37">
        <f t="shared" si="11"/>
        <v>0.28291686266067134</v>
      </c>
      <c r="T38" s="36">
        <f t="shared" si="11"/>
        <v>0.28747901192212344</v>
      </c>
      <c r="U38" s="36">
        <f t="shared" si="11"/>
        <v>0.29192637293991208</v>
      </c>
      <c r="V38" s="37">
        <f t="shared" si="11"/>
        <v>0.29626257442140136</v>
      </c>
      <c r="W38" s="36">
        <f t="shared" si="11"/>
        <v>0.30049109030693899</v>
      </c>
      <c r="X38" s="36">
        <f t="shared" si="11"/>
        <v>0.30461524791379507</v>
      </c>
      <c r="Y38" s="37">
        <f t="shared" si="11"/>
        <v>0.30863823557109632</v>
      </c>
      <c r="Z38" s="36">
        <f t="shared" si="11"/>
        <v>0.31256310978248625</v>
      </c>
      <c r="AA38" s="36">
        <f t="shared" si="11"/>
        <v>0.31639280195024838</v>
      </c>
      <c r="AB38" s="37">
        <f t="shared" si="11"/>
        <v>0.32013012469189933</v>
      </c>
    </row>
    <row r="39" spans="1:28" x14ac:dyDescent="0.3">
      <c r="C39" s="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x14ac:dyDescent="0.3">
      <c r="C40" s="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x14ac:dyDescent="0.3">
      <c r="C41" s="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x14ac:dyDescent="0.3">
      <c r="C42" s="78"/>
      <c r="D42" s="7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1:28" x14ac:dyDescent="0.3">
      <c r="C43" s="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x14ac:dyDescent="0.3">
      <c r="C44" s="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22.5" x14ac:dyDescent="0.4">
      <c r="A45" s="5" t="s">
        <v>73</v>
      </c>
      <c r="C45" s="50" t="s">
        <v>61</v>
      </c>
      <c r="D45" s="51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28" x14ac:dyDescent="0.3">
      <c r="C46" s="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5.75" thickBot="1" x14ac:dyDescent="0.35">
      <c r="E47" s="254" t="s">
        <v>49</v>
      </c>
      <c r="F47" s="255" t="s">
        <v>41</v>
      </c>
      <c r="G47" s="255" t="s">
        <v>69</v>
      </c>
      <c r="H47" s="256" t="s">
        <v>65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x14ac:dyDescent="0.3">
      <c r="C48" s="76" t="s">
        <v>138</v>
      </c>
      <c r="E48" s="76"/>
      <c r="F48" s="76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x14ac:dyDescent="0.3">
      <c r="C49" s="5" t="s">
        <v>47</v>
      </c>
      <c r="E49" s="119">
        <v>7344000000</v>
      </c>
      <c r="F49" s="115">
        <v>4978681200</v>
      </c>
      <c r="G49" s="115">
        <v>14568900000</v>
      </c>
      <c r="H49" s="132">
        <v>10649581200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x14ac:dyDescent="0.3">
      <c r="C50" s="5" t="s">
        <v>48</v>
      </c>
      <c r="E50" s="120">
        <v>4818338784.8599997</v>
      </c>
      <c r="F50" s="116">
        <v>3482684916.79</v>
      </c>
      <c r="G50" s="116">
        <v>9389725325.0200005</v>
      </c>
      <c r="H50" s="133">
        <v>7247499555.9799995</v>
      </c>
      <c r="I50" s="88"/>
      <c r="J50" s="88"/>
      <c r="K50" s="88"/>
      <c r="L50" s="8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x14ac:dyDescent="0.3">
      <c r="C51" s="5" t="s">
        <v>62</v>
      </c>
      <c r="E51" s="41">
        <v>240000</v>
      </c>
      <c r="F51" s="42">
        <v>173400</v>
      </c>
      <c r="G51" s="42">
        <v>480830</v>
      </c>
      <c r="H51" s="43">
        <v>372230</v>
      </c>
      <c r="I51" s="89"/>
      <c r="J51" s="89"/>
      <c r="K51" s="89"/>
      <c r="L51" s="89"/>
      <c r="M51" s="89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x14ac:dyDescent="0.3">
      <c r="E52" s="11"/>
      <c r="F52" s="11"/>
      <c r="G52" s="57"/>
      <c r="H52" s="57"/>
      <c r="I52" s="89"/>
      <c r="J52" s="89"/>
      <c r="K52" s="89"/>
      <c r="L52" s="89"/>
      <c r="M52" s="89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x14ac:dyDescent="0.3">
      <c r="C53" s="5" t="s">
        <v>46</v>
      </c>
      <c r="E53" s="121">
        <f>(E49-E50)/E51</f>
        <v>10523.588396416668</v>
      </c>
      <c r="F53" s="118">
        <f>(F49-F50)/F51</f>
        <v>8627.4295456170712</v>
      </c>
      <c r="G53" s="118">
        <f>(G49-G50)/G51</f>
        <v>10771.321828879229</v>
      </c>
      <c r="H53" s="134">
        <f>(H49-H50)/H51</f>
        <v>9139.7298552507873</v>
      </c>
      <c r="I53" s="89"/>
      <c r="J53" s="89"/>
      <c r="K53" s="89"/>
      <c r="L53" s="89"/>
      <c r="M53" s="89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x14ac:dyDescent="0.3">
      <c r="C54" s="4"/>
      <c r="D54" s="4"/>
      <c r="E54" s="4"/>
      <c r="F54" s="33"/>
      <c r="G54" s="33"/>
      <c r="H54" s="89"/>
      <c r="I54" s="89"/>
      <c r="J54" s="89"/>
      <c r="K54" s="89"/>
      <c r="L54" s="89"/>
      <c r="M54" s="89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x14ac:dyDescent="0.3">
      <c r="C55" s="4"/>
      <c r="D55" s="4"/>
      <c r="E55" s="4"/>
      <c r="F55" s="33"/>
      <c r="G55" s="33"/>
      <c r="H55" s="89"/>
      <c r="I55" s="89"/>
      <c r="J55" s="89"/>
      <c r="K55" s="89"/>
      <c r="L55" s="89"/>
      <c r="M55" s="89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x14ac:dyDescent="0.3">
      <c r="C56" s="4"/>
      <c r="E56" s="33"/>
      <c r="F56" s="33"/>
      <c r="G56" s="33"/>
      <c r="H56" s="89"/>
      <c r="I56" s="89"/>
      <c r="J56" s="89"/>
      <c r="K56" s="89"/>
      <c r="L56" s="89"/>
      <c r="M56" s="89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x14ac:dyDescent="0.3">
      <c r="C57" s="4"/>
      <c r="E57" s="33"/>
      <c r="F57" s="33"/>
      <c r="G57" s="33"/>
      <c r="H57" s="89"/>
      <c r="I57" s="89"/>
      <c r="J57" s="89"/>
      <c r="K57" s="89"/>
      <c r="L57" s="89"/>
      <c r="M57" s="89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x14ac:dyDescent="0.3">
      <c r="C58" s="47"/>
      <c r="D58" s="48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x14ac:dyDescent="0.3">
      <c r="C59" s="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21" x14ac:dyDescent="0.3">
      <c r="A60" s="5" t="s">
        <v>73</v>
      </c>
      <c r="C60" s="53" t="s">
        <v>31</v>
      </c>
      <c r="D60" s="51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 spans="1:28" x14ac:dyDescent="0.3">
      <c r="C61" s="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5.75" thickBot="1" x14ac:dyDescent="0.35">
      <c r="C62" s="79"/>
      <c r="D62" s="76"/>
      <c r="E62" s="248" t="s">
        <v>33</v>
      </c>
      <c r="F62" s="249" t="s">
        <v>32</v>
      </c>
      <c r="G62" s="249" t="s">
        <v>34</v>
      </c>
      <c r="H62" s="253" t="s">
        <v>40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3">
      <c r="C63" s="76" t="s">
        <v>35</v>
      </c>
      <c r="D63" s="76"/>
      <c r="E63" s="81"/>
      <c r="F63" s="81"/>
      <c r="G63" s="252"/>
      <c r="H63" s="252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3">
      <c r="C64" s="5" t="s">
        <v>119</v>
      </c>
      <c r="E64" s="119">
        <f>E32</f>
        <v>591600000</v>
      </c>
      <c r="F64" s="115">
        <f>AB32</f>
        <v>456833520</v>
      </c>
      <c r="G64" s="49">
        <f>(F64-E64)/E64</f>
        <v>-0.2278</v>
      </c>
      <c r="H64" s="130" t="s">
        <v>71</v>
      </c>
      <c r="I64" s="15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3">
      <c r="C65" s="5" t="s">
        <v>120</v>
      </c>
      <c r="E65" s="122">
        <f>E23</f>
        <v>30000</v>
      </c>
      <c r="F65" s="117">
        <f>AB23</f>
        <v>30294</v>
      </c>
      <c r="G65" s="36">
        <f>(F65-E65)/E65</f>
        <v>9.7999999999999997E-3</v>
      </c>
      <c r="H65" s="131" t="s">
        <v>71</v>
      </c>
      <c r="I65" s="16"/>
      <c r="J65" s="17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7"/>
      <c r="W65" s="17"/>
      <c r="X65" s="17"/>
      <c r="Y65" s="17"/>
      <c r="Z65" s="17"/>
      <c r="AA65" s="17"/>
      <c r="AB65" s="17"/>
    </row>
    <row r="66" spans="1:28" x14ac:dyDescent="0.3">
      <c r="E66" s="11"/>
      <c r="F66" s="11"/>
      <c r="G66" s="90"/>
      <c r="H66" s="16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x14ac:dyDescent="0.3">
      <c r="C67" s="76" t="s">
        <v>36</v>
      </c>
      <c r="D67" s="76"/>
      <c r="E67" s="81"/>
      <c r="F67" s="81"/>
      <c r="G67" s="91"/>
      <c r="H67" s="82"/>
      <c r="I67" s="15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3">
      <c r="C68" s="5" t="s">
        <v>20</v>
      </c>
      <c r="E68" s="83">
        <f>E36/E32</f>
        <v>0.11288032454361055</v>
      </c>
      <c r="F68" s="49">
        <f>AB36/AB32</f>
        <v>-5.0522176455573387E-2</v>
      </c>
      <c r="G68" s="107">
        <f t="shared" ref="G68:G69" si="12">(F68-E68)/E68</f>
        <v>-1.4475729199029232</v>
      </c>
      <c r="H68" s="104">
        <f t="shared" ref="H68:H69" si="13">(F68-E68)*10000</f>
        <v>-1634.0250099918394</v>
      </c>
      <c r="I68" s="15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3">
      <c r="C69" s="5" t="s">
        <v>39</v>
      </c>
      <c r="E69" s="35">
        <f>E38</f>
        <v>0.38333333333333336</v>
      </c>
      <c r="F69" s="36">
        <f>AB38</f>
        <v>0.32013012469189933</v>
      </c>
      <c r="G69" s="111">
        <f t="shared" si="12"/>
        <v>-0.16487793558634964</v>
      </c>
      <c r="H69" s="105">
        <f t="shared" si="13"/>
        <v>-632.03208641434026</v>
      </c>
      <c r="I69" s="15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3">
      <c r="E70" s="11"/>
      <c r="F70" s="11"/>
      <c r="G70" s="90"/>
      <c r="H70" s="15"/>
      <c r="I70" s="15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3">
      <c r="C71" s="76" t="s">
        <v>37</v>
      </c>
      <c r="D71" s="76"/>
      <c r="E71" s="81"/>
      <c r="F71" s="81"/>
      <c r="G71" s="91"/>
      <c r="H71" s="82"/>
      <c r="I71" s="15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3">
      <c r="C72" s="5" t="s">
        <v>38</v>
      </c>
      <c r="E72" s="38">
        <f>E33/E32</f>
        <v>0.27045300878972278</v>
      </c>
      <c r="F72" s="39">
        <f>AB33/AB32</f>
        <v>0.37065230114747272</v>
      </c>
      <c r="G72" s="112">
        <f t="shared" ref="G72" si="14">(F72-E72)/E72</f>
        <v>0.37048688349278042</v>
      </c>
      <c r="H72" s="80">
        <f t="shared" ref="H72" si="15">(F72-E72)*10000</f>
        <v>1001.9929235774994</v>
      </c>
      <c r="I72" s="15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3">
      <c r="E73" s="17"/>
      <c r="F73" s="17"/>
      <c r="G73" s="15"/>
      <c r="H73" s="15"/>
      <c r="I73" s="15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3">
      <c r="E74" s="17"/>
      <c r="F74" s="17"/>
      <c r="G74" s="15"/>
      <c r="H74" s="15"/>
      <c r="I74" s="15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3">
      <c r="E75" s="17"/>
      <c r="F75" s="17"/>
      <c r="G75" s="15"/>
      <c r="H75" s="15"/>
      <c r="I75" s="15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3">
      <c r="E76" s="17"/>
      <c r="F76" s="17"/>
      <c r="G76" s="15"/>
      <c r="H76" s="15"/>
      <c r="I76" s="15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3">
      <c r="C77" s="48"/>
      <c r="D77" s="48"/>
      <c r="E77" s="55"/>
      <c r="F77" s="55"/>
      <c r="G77" s="56"/>
      <c r="H77" s="56"/>
      <c r="I77" s="5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x14ac:dyDescent="0.3">
      <c r="E78" s="57"/>
      <c r="F78" s="57"/>
      <c r="G78" s="15"/>
      <c r="H78" s="15"/>
      <c r="I78" s="15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21" x14ac:dyDescent="0.3">
      <c r="A79" s="5" t="s">
        <v>73</v>
      </c>
      <c r="C79" s="53" t="s">
        <v>63</v>
      </c>
      <c r="D79" s="51"/>
      <c r="E79" s="59"/>
      <c r="F79" s="59"/>
      <c r="G79" s="60"/>
      <c r="H79" s="60"/>
      <c r="I79" s="60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 spans="1:28" ht="21" x14ac:dyDescent="0.3">
      <c r="C80" s="58"/>
      <c r="E80" s="11"/>
      <c r="F80" s="11"/>
      <c r="G80" s="15"/>
      <c r="H80" s="15"/>
      <c r="I80" s="15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3:28" ht="15.75" thickBot="1" x14ac:dyDescent="0.35">
      <c r="C81" s="84"/>
      <c r="D81" s="76"/>
      <c r="E81" s="248" t="s">
        <v>64</v>
      </c>
      <c r="F81" s="249" t="s">
        <v>65</v>
      </c>
      <c r="G81" s="250" t="s">
        <v>42</v>
      </c>
      <c r="H81" s="250" t="s">
        <v>43</v>
      </c>
      <c r="I81" s="251" t="s">
        <v>40</v>
      </c>
      <c r="J81" s="11"/>
      <c r="K81" s="11"/>
      <c r="L81" s="11"/>
      <c r="M81" s="11"/>
      <c r="N81" s="11"/>
      <c r="O81" s="79"/>
      <c r="P81" s="79"/>
      <c r="Q81" s="96"/>
      <c r="R81" s="96"/>
      <c r="S81" s="96"/>
      <c r="T81" s="11"/>
      <c r="U81" s="11"/>
      <c r="V81" s="11"/>
      <c r="W81" s="11"/>
      <c r="X81" s="11"/>
      <c r="Y81" s="11"/>
      <c r="Z81" s="11"/>
      <c r="AA81" s="11"/>
      <c r="AB81" s="11"/>
    </row>
    <row r="82" spans="3:28" ht="9" customHeight="1" x14ac:dyDescent="0.3">
      <c r="C82" s="84"/>
      <c r="D82" s="76"/>
      <c r="J82" s="11"/>
      <c r="K82" s="11"/>
      <c r="L82" s="11"/>
      <c r="M82" s="11"/>
      <c r="N82" s="11"/>
      <c r="O82" s="79"/>
      <c r="P82" s="79"/>
      <c r="Q82" s="96"/>
      <c r="R82" s="96"/>
      <c r="S82" s="96"/>
      <c r="T82" s="11"/>
      <c r="U82" s="11"/>
      <c r="V82" s="11"/>
      <c r="W82" s="11"/>
      <c r="X82" s="11"/>
      <c r="Y82" s="11"/>
      <c r="Z82" s="11"/>
      <c r="AA82" s="11"/>
      <c r="AB82" s="11"/>
    </row>
    <row r="83" spans="3:28" x14ac:dyDescent="0.3">
      <c r="C83" s="76" t="s">
        <v>17</v>
      </c>
      <c r="D83" s="4"/>
      <c r="E83" s="113">
        <v>14568900000</v>
      </c>
      <c r="F83" s="114">
        <v>10649581200</v>
      </c>
      <c r="G83" s="115">
        <f>F83-E83</f>
        <v>-3919318800</v>
      </c>
      <c r="H83" s="107">
        <f>(F83-E83)/E83</f>
        <v>-0.26901954162634106</v>
      </c>
      <c r="I83" s="125" t="s">
        <v>71</v>
      </c>
      <c r="J83" s="11"/>
      <c r="K83" s="11"/>
      <c r="L83" s="11"/>
      <c r="M83" s="11"/>
      <c r="N83" s="11"/>
      <c r="O83" s="95"/>
      <c r="P83" s="95"/>
      <c r="Q83" s="93"/>
      <c r="R83" s="18"/>
      <c r="S83" s="93"/>
      <c r="T83" s="11"/>
      <c r="U83" s="11"/>
      <c r="V83" s="11"/>
      <c r="W83" s="11"/>
      <c r="X83" s="11"/>
      <c r="Y83" s="11"/>
      <c r="Z83" s="11"/>
      <c r="AA83" s="11"/>
      <c r="AB83" s="11"/>
    </row>
    <row r="84" spans="3:28" ht="4.5" customHeight="1" x14ac:dyDescent="0.3">
      <c r="C84" s="76"/>
      <c r="D84" s="4"/>
      <c r="E84" s="30"/>
      <c r="F84" s="11"/>
      <c r="G84" s="11"/>
      <c r="H84" s="33"/>
      <c r="I84" s="126" t="s">
        <v>71</v>
      </c>
      <c r="J84" s="11"/>
      <c r="K84" s="11"/>
      <c r="L84" s="11"/>
      <c r="M84" s="11"/>
      <c r="N84" s="11"/>
      <c r="O84" s="95"/>
      <c r="P84" s="95"/>
      <c r="Q84" s="93"/>
      <c r="R84" s="18"/>
      <c r="S84" s="93"/>
      <c r="T84" s="11"/>
      <c r="U84" s="11"/>
      <c r="V84" s="11"/>
      <c r="W84" s="11"/>
      <c r="X84" s="11"/>
      <c r="Y84" s="11"/>
      <c r="Z84" s="11"/>
      <c r="AA84" s="11"/>
      <c r="AB84" s="11"/>
    </row>
    <row r="85" spans="3:28" ht="19.5" customHeight="1" x14ac:dyDescent="0.3">
      <c r="C85" s="4" t="s">
        <v>66</v>
      </c>
      <c r="D85" s="4"/>
      <c r="E85" s="30"/>
      <c r="F85" s="11"/>
      <c r="G85" s="11"/>
      <c r="H85" s="33"/>
      <c r="I85" s="126" t="s">
        <v>71</v>
      </c>
      <c r="J85" s="11"/>
      <c r="K85" s="11"/>
      <c r="L85" s="11"/>
      <c r="M85" s="11"/>
      <c r="N85" s="11"/>
      <c r="O85" s="95"/>
      <c r="P85" s="95"/>
      <c r="Q85" s="93"/>
      <c r="R85" s="18"/>
      <c r="S85" s="93"/>
      <c r="T85" s="11"/>
      <c r="U85" s="11"/>
      <c r="V85" s="11"/>
      <c r="W85" s="11"/>
      <c r="X85" s="11"/>
      <c r="Y85" s="11"/>
      <c r="Z85" s="11"/>
      <c r="AA85" s="11"/>
      <c r="AB85" s="11"/>
    </row>
    <row r="86" spans="3:28" x14ac:dyDescent="0.3">
      <c r="C86" s="97" t="s">
        <v>44</v>
      </c>
      <c r="D86" s="4"/>
      <c r="E86" s="30">
        <v>480830</v>
      </c>
      <c r="F86" s="11">
        <v>372230</v>
      </c>
      <c r="G86" s="116">
        <f>(F86-E86)*E87</f>
        <v>-3290523760.9966102</v>
      </c>
      <c r="H86" s="124" t="s">
        <v>71</v>
      </c>
      <c r="I86" s="126" t="s">
        <v>71</v>
      </c>
      <c r="J86" s="11"/>
      <c r="K86" s="11"/>
      <c r="N86" s="11"/>
      <c r="O86" s="95"/>
      <c r="P86" s="95"/>
      <c r="Q86" s="93"/>
      <c r="R86" s="18"/>
      <c r="S86" s="93"/>
      <c r="T86" s="11"/>
      <c r="U86" s="11"/>
      <c r="V86" s="11"/>
      <c r="W86" s="11"/>
      <c r="X86" s="11"/>
      <c r="Y86" s="11"/>
      <c r="Z86" s="11"/>
      <c r="AA86" s="11"/>
      <c r="AB86" s="11"/>
    </row>
    <row r="87" spans="3:28" x14ac:dyDescent="0.3">
      <c r="C87" s="97" t="s">
        <v>45</v>
      </c>
      <c r="D87" s="4"/>
      <c r="E87" s="122">
        <f>E83/E86</f>
        <v>30299.482145456815</v>
      </c>
      <c r="F87" s="117">
        <f>F83/F86</f>
        <v>28610.217338742175</v>
      </c>
      <c r="G87" s="117">
        <f>(F87-E87)*F86</f>
        <v>-628795039.00339055</v>
      </c>
      <c r="H87" s="129" t="s">
        <v>71</v>
      </c>
      <c r="I87" s="128" t="s">
        <v>71</v>
      </c>
      <c r="J87" s="11"/>
      <c r="K87" s="11"/>
      <c r="N87" s="11"/>
      <c r="O87" s="95"/>
      <c r="P87" s="95"/>
      <c r="Q87" s="93"/>
      <c r="R87" s="18"/>
      <c r="S87" s="93"/>
      <c r="T87" s="11"/>
      <c r="U87" s="11"/>
      <c r="V87" s="11"/>
      <c r="W87" s="11"/>
      <c r="X87" s="11"/>
      <c r="Y87" s="11"/>
      <c r="Z87" s="11"/>
      <c r="AA87" s="11"/>
      <c r="AB87" s="11"/>
    </row>
    <row r="88" spans="3:28" ht="12" customHeight="1" x14ac:dyDescent="0.3">
      <c r="C88" s="4"/>
      <c r="D88" s="4"/>
      <c r="G88" s="15"/>
      <c r="H88" s="33"/>
      <c r="I88" s="93"/>
      <c r="J88" s="11"/>
      <c r="K88" s="11"/>
      <c r="M88" s="11"/>
      <c r="N88" s="11"/>
      <c r="O88" s="95"/>
      <c r="P88" s="95"/>
      <c r="Q88" s="93"/>
      <c r="R88" s="18"/>
      <c r="S88" s="93"/>
      <c r="T88" s="11"/>
      <c r="U88" s="11"/>
      <c r="V88" s="11"/>
      <c r="W88" s="11"/>
      <c r="X88" s="11"/>
      <c r="Y88" s="11"/>
      <c r="Z88" s="11"/>
      <c r="AA88" s="11"/>
      <c r="AB88" s="11"/>
    </row>
    <row r="89" spans="3:28" ht="15" customHeight="1" x14ac:dyDescent="0.3">
      <c r="C89" s="76" t="s">
        <v>123</v>
      </c>
      <c r="D89" s="4"/>
      <c r="E89" s="121">
        <v>5179174674.9799995</v>
      </c>
      <c r="F89" s="118">
        <v>3402081644.02</v>
      </c>
      <c r="G89" s="118">
        <f>F89-E89</f>
        <v>-1777093030.9599996</v>
      </c>
      <c r="H89" s="108">
        <f>(F89-E89)/E89</f>
        <v>-0.34312282216410517</v>
      </c>
      <c r="I89" s="127" t="s">
        <v>71</v>
      </c>
      <c r="J89" s="11"/>
      <c r="K89" s="11"/>
      <c r="L89" s="11"/>
      <c r="M89" s="11"/>
      <c r="N89" s="11"/>
      <c r="O89" s="95"/>
      <c r="P89" s="95"/>
      <c r="Q89" s="93"/>
      <c r="R89" s="18"/>
      <c r="S89" s="93"/>
      <c r="T89" s="11"/>
      <c r="U89" s="11"/>
      <c r="V89" s="11"/>
      <c r="W89" s="11"/>
      <c r="X89" s="11"/>
      <c r="Y89" s="11"/>
      <c r="Z89" s="11"/>
      <c r="AA89" s="11"/>
      <c r="AB89" s="11"/>
    </row>
    <row r="90" spans="3:28" ht="12" customHeight="1" x14ac:dyDescent="0.3">
      <c r="C90" s="4"/>
      <c r="D90" s="4"/>
      <c r="G90" s="15"/>
      <c r="H90" s="33"/>
      <c r="I90" s="93"/>
      <c r="J90" s="11"/>
      <c r="K90" s="11"/>
      <c r="L90" s="11"/>
      <c r="M90" s="11"/>
      <c r="N90" s="11"/>
      <c r="O90" s="95"/>
      <c r="P90" s="95"/>
      <c r="Q90" s="93"/>
      <c r="R90" s="18"/>
      <c r="S90" s="93"/>
      <c r="T90" s="11"/>
      <c r="U90" s="11"/>
      <c r="V90" s="11"/>
      <c r="W90" s="11"/>
      <c r="X90" s="11"/>
      <c r="Y90" s="11"/>
      <c r="Z90" s="11"/>
      <c r="AA90" s="11"/>
      <c r="AB90" s="11"/>
    </row>
    <row r="91" spans="3:28" ht="15" customHeight="1" x14ac:dyDescent="0.3">
      <c r="C91" s="76" t="s">
        <v>39</v>
      </c>
      <c r="D91" s="4"/>
      <c r="E91" s="38">
        <f>E89/E83</f>
        <v>0.35549524500682961</v>
      </c>
      <c r="F91" s="39">
        <f>F89/F83</f>
        <v>0.31945684812657232</v>
      </c>
      <c r="G91" s="106">
        <f>(F91-E91)*100</f>
        <v>-3.6038396880257286</v>
      </c>
      <c r="H91" s="108">
        <f>(F91-E91)/E91</f>
        <v>-0.10137518683144392</v>
      </c>
      <c r="I91" s="87">
        <f>G91*100</f>
        <v>-360.38396880257284</v>
      </c>
      <c r="J91" s="11"/>
      <c r="K91" s="11"/>
      <c r="L91" s="11"/>
      <c r="M91" s="11"/>
      <c r="N91" s="11"/>
      <c r="O91" s="18"/>
      <c r="P91" s="18"/>
      <c r="Q91" s="94"/>
      <c r="R91" s="18"/>
      <c r="S91" s="93"/>
      <c r="T91" s="11"/>
      <c r="U91" s="11"/>
      <c r="V91" s="11"/>
      <c r="W91" s="11"/>
      <c r="X91" s="11"/>
      <c r="Y91" s="11"/>
      <c r="Z91" s="11"/>
      <c r="AA91" s="11"/>
      <c r="AB91" s="11"/>
    </row>
    <row r="92" spans="3:28" ht="12" customHeight="1" x14ac:dyDescent="0.3">
      <c r="C92" s="4"/>
      <c r="D92" s="4"/>
      <c r="G92" s="15"/>
      <c r="H92" s="33"/>
      <c r="I92" s="93"/>
      <c r="J92" s="11"/>
      <c r="K92" s="11"/>
      <c r="L92" s="11"/>
      <c r="M92" s="11"/>
      <c r="N92" s="11"/>
      <c r="O92" s="95"/>
      <c r="P92" s="95"/>
      <c r="Q92" s="93"/>
      <c r="R92" s="18"/>
      <c r="S92" s="93"/>
      <c r="T92" s="11"/>
      <c r="U92" s="11"/>
      <c r="V92" s="11"/>
      <c r="W92" s="11"/>
      <c r="X92" s="11"/>
      <c r="Y92" s="11"/>
      <c r="Z92" s="11"/>
      <c r="AA92" s="11"/>
      <c r="AB92" s="11"/>
    </row>
    <row r="93" spans="3:28" x14ac:dyDescent="0.3">
      <c r="C93" s="76" t="s">
        <v>19</v>
      </c>
      <c r="D93" s="85"/>
      <c r="E93" s="119">
        <v>1228268691.6099999</v>
      </c>
      <c r="F93" s="115">
        <v>-548824339.35000002</v>
      </c>
      <c r="G93" s="115">
        <f>F93-E93</f>
        <v>-1777093030.96</v>
      </c>
      <c r="H93" s="107">
        <f>(F93-E93)/E93</f>
        <v>-1.4468275900044376</v>
      </c>
      <c r="I93" s="125" t="s">
        <v>71</v>
      </c>
      <c r="J93" s="11"/>
      <c r="K93" s="11"/>
      <c r="L93" s="11"/>
      <c r="M93" s="11"/>
      <c r="N93" s="11"/>
      <c r="O93" s="95"/>
      <c r="P93" s="95"/>
      <c r="Q93" s="93"/>
      <c r="R93" s="18"/>
      <c r="S93" s="93"/>
      <c r="T93" s="11"/>
      <c r="U93" s="11"/>
      <c r="V93" s="11"/>
      <c r="W93" s="11"/>
      <c r="X93" s="11"/>
      <c r="Y93" s="11"/>
      <c r="Z93" s="11"/>
      <c r="AA93" s="11"/>
      <c r="AB93" s="11"/>
    </row>
    <row r="94" spans="3:28" ht="4.5" customHeight="1" x14ac:dyDescent="0.3">
      <c r="C94" s="85"/>
      <c r="D94" s="85"/>
      <c r="E94" s="99"/>
      <c r="F94" s="100"/>
      <c r="G94" s="101">
        <f>F94-E94</f>
        <v>0</v>
      </c>
      <c r="H94" s="33"/>
      <c r="I94" s="126" t="s">
        <v>71</v>
      </c>
      <c r="J94" s="11"/>
      <c r="K94" s="11"/>
      <c r="L94" s="11"/>
      <c r="M94" s="11"/>
      <c r="N94" s="11"/>
      <c r="O94" s="95"/>
      <c r="P94" s="95"/>
      <c r="Q94" s="93"/>
      <c r="R94" s="18"/>
      <c r="S94" s="93"/>
      <c r="T94" s="11"/>
      <c r="U94" s="11"/>
      <c r="V94" s="11"/>
      <c r="W94" s="11"/>
      <c r="X94" s="11"/>
      <c r="Y94" s="11"/>
      <c r="Z94" s="11"/>
      <c r="AA94" s="11"/>
      <c r="AB94" s="11"/>
    </row>
    <row r="95" spans="3:28" ht="15" customHeight="1" x14ac:dyDescent="0.3">
      <c r="C95" s="85" t="s">
        <v>70</v>
      </c>
      <c r="D95" s="85"/>
      <c r="E95" s="99"/>
      <c r="F95" s="100"/>
      <c r="G95" s="101"/>
      <c r="H95" s="33"/>
      <c r="I95" s="126"/>
      <c r="J95" s="11"/>
      <c r="K95" s="11"/>
      <c r="L95" s="11"/>
      <c r="M95" s="11"/>
      <c r="N95" s="11"/>
      <c r="O95" s="95"/>
      <c r="P95" s="95"/>
      <c r="Q95" s="93"/>
      <c r="R95" s="18"/>
      <c r="S95" s="93"/>
      <c r="T95" s="11"/>
      <c r="U95" s="11"/>
      <c r="V95" s="11"/>
      <c r="W95" s="11"/>
      <c r="X95" s="11"/>
      <c r="Y95" s="11"/>
      <c r="Z95" s="11"/>
      <c r="AA95" s="11"/>
      <c r="AB95" s="11"/>
    </row>
    <row r="96" spans="3:28" x14ac:dyDescent="0.3">
      <c r="C96" s="98" t="s">
        <v>44</v>
      </c>
      <c r="D96" s="85"/>
      <c r="E96" s="99">
        <v>480830</v>
      </c>
      <c r="F96" s="100">
        <v>372230</v>
      </c>
      <c r="G96" s="116">
        <f>(F96-E96)*G53</f>
        <v>-1169765550.6162841</v>
      </c>
      <c r="H96" s="123" t="s">
        <v>71</v>
      </c>
      <c r="I96" s="126" t="s">
        <v>71</v>
      </c>
      <c r="J96" s="92"/>
      <c r="K96" s="11"/>
      <c r="L96" s="11"/>
      <c r="M96" s="11"/>
      <c r="N96" s="11"/>
      <c r="O96" s="95"/>
      <c r="P96" s="95"/>
      <c r="Q96" s="93"/>
      <c r="R96" s="18"/>
      <c r="S96" s="93"/>
      <c r="T96" s="11"/>
      <c r="U96" s="11"/>
      <c r="V96" s="11"/>
      <c r="W96" s="11"/>
      <c r="X96" s="11"/>
      <c r="Y96" s="11"/>
      <c r="Z96" s="11"/>
      <c r="AA96" s="11"/>
      <c r="AB96" s="11"/>
    </row>
    <row r="97" spans="3:28" x14ac:dyDescent="0.3">
      <c r="C97" s="98" t="s">
        <v>45</v>
      </c>
      <c r="D97" s="85"/>
      <c r="E97" s="120">
        <v>30299.482145456815</v>
      </c>
      <c r="F97" s="116">
        <v>28610.217338742175</v>
      </c>
      <c r="G97" s="116">
        <f>(F97-E97)*F96</f>
        <v>-628795039.00339055</v>
      </c>
      <c r="H97" s="124" t="s">
        <v>71</v>
      </c>
      <c r="I97" s="126" t="s">
        <v>71</v>
      </c>
      <c r="J97" s="92"/>
      <c r="K97" s="11"/>
      <c r="L97" s="11"/>
      <c r="M97" s="11"/>
      <c r="N97" s="11"/>
      <c r="O97" s="95"/>
      <c r="P97" s="95"/>
      <c r="Q97" s="93"/>
      <c r="R97" s="18"/>
      <c r="S97" s="93"/>
      <c r="T97" s="11"/>
      <c r="U97" s="11"/>
      <c r="V97" s="11"/>
      <c r="W97" s="11"/>
      <c r="X97" s="11"/>
      <c r="Y97" s="11"/>
      <c r="Z97" s="11"/>
      <c r="AA97" s="11"/>
      <c r="AB97" s="11"/>
    </row>
    <row r="98" spans="3:28" x14ac:dyDescent="0.3">
      <c r="C98" s="98" t="s">
        <v>67</v>
      </c>
      <c r="D98" s="85"/>
      <c r="E98" s="120">
        <v>9389725325.0200005</v>
      </c>
      <c r="F98" s="116">
        <v>7247499555.9799995</v>
      </c>
      <c r="G98" s="116">
        <f>((E98/E96)-(F98/F96))*F96</f>
        <v>21467558.659674428</v>
      </c>
      <c r="H98" s="124" t="s">
        <v>71</v>
      </c>
      <c r="I98" s="126" t="s">
        <v>71</v>
      </c>
      <c r="J98" s="11"/>
      <c r="K98" s="11"/>
      <c r="L98" s="11"/>
      <c r="M98" s="11"/>
      <c r="N98" s="11"/>
      <c r="O98" s="95"/>
      <c r="P98" s="95"/>
      <c r="Q98" s="93"/>
      <c r="R98" s="18"/>
      <c r="S98" s="93"/>
      <c r="T98" s="11"/>
      <c r="U98" s="11"/>
      <c r="V98" s="11"/>
      <c r="W98" s="11"/>
      <c r="X98" s="11"/>
      <c r="Y98" s="11"/>
      <c r="Z98" s="11"/>
      <c r="AA98" s="11"/>
      <c r="AB98" s="11"/>
    </row>
    <row r="99" spans="3:28" x14ac:dyDescent="0.3">
      <c r="C99" s="98" t="s">
        <v>68</v>
      </c>
      <c r="D99" s="85"/>
      <c r="E99" s="120">
        <v>3950905983.3699999</v>
      </c>
      <c r="F99" s="116">
        <v>3950905983.3699999</v>
      </c>
      <c r="G99" s="109">
        <f>F99-E99</f>
        <v>0</v>
      </c>
      <c r="H99" s="124" t="s">
        <v>71</v>
      </c>
      <c r="I99" s="126" t="s">
        <v>71</v>
      </c>
      <c r="J99" s="11"/>
      <c r="K99" s="11"/>
      <c r="L99" s="11"/>
      <c r="M99" s="11"/>
      <c r="N99" s="11"/>
      <c r="O99" s="95"/>
      <c r="P99" s="95"/>
      <c r="Q99" s="93"/>
      <c r="R99" s="18"/>
      <c r="S99" s="93"/>
      <c r="T99" s="11"/>
      <c r="U99" s="11"/>
      <c r="V99" s="11"/>
      <c r="W99" s="11"/>
      <c r="X99" s="11"/>
      <c r="Y99" s="11"/>
      <c r="Z99" s="11"/>
      <c r="AA99" s="11"/>
      <c r="AB99" s="11"/>
    </row>
    <row r="100" spans="3:28" x14ac:dyDescent="0.3">
      <c r="C100" s="98"/>
      <c r="D100" s="85"/>
      <c r="E100" s="48"/>
      <c r="F100" s="48"/>
      <c r="G100" s="103"/>
      <c r="H100" s="49"/>
      <c r="I100" s="86"/>
      <c r="J100" s="11"/>
      <c r="K100" s="11"/>
      <c r="L100" s="11"/>
      <c r="M100" s="11"/>
      <c r="N100" s="11"/>
      <c r="O100" s="95"/>
      <c r="P100" s="95"/>
      <c r="Q100" s="93"/>
      <c r="R100" s="18"/>
      <c r="S100" s="93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3:28" x14ac:dyDescent="0.3">
      <c r="C101" s="76" t="s">
        <v>20</v>
      </c>
      <c r="D101" s="4"/>
      <c r="E101" s="38">
        <f>E93/E83</f>
        <v>8.4307579268853516E-2</v>
      </c>
      <c r="F101" s="39">
        <f>F93/F83</f>
        <v>-5.1534828369588843E-2</v>
      </c>
      <c r="G101" s="102">
        <f>(F101-E101)*100</f>
        <v>-13.584240763844235</v>
      </c>
      <c r="H101" s="108">
        <f>(F101-E101)/E101</f>
        <v>-1.6112715940431206</v>
      </c>
      <c r="I101" s="87">
        <f>G101*100</f>
        <v>-1358.4240763844236</v>
      </c>
      <c r="O101" s="18"/>
      <c r="P101" s="18"/>
      <c r="Q101" s="94"/>
      <c r="R101" s="18"/>
      <c r="S101" s="93"/>
    </row>
    <row r="105" spans="3:28" x14ac:dyDescent="0.3"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</sheetData>
  <phoneticPr fontId="2" type="noConversion"/>
  <conditionalFormatting sqref="E17:AB38">
    <cfRule type="expression" dxfId="1" priority="12">
      <formula>OR(AND($D$5=2,E$14&gt;=7,E$14&lt;=12),AND($D$5=3,E$14&gt;=6,E$14&lt;=15))</formula>
    </cfRule>
  </conditionalFormatting>
  <conditionalFormatting sqref="AO18:BL18">
    <cfRule type="expression" dxfId="0" priority="1">
      <formula>OR(AND($D$5=2,AO$14&gt;=7,AO$14&lt;=12),AND($D$5=3,AO$14&gt;=6,AO$14&lt;=15))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FBBB76-8BD6-4AC7-ADD1-88BCA812F204}">
          <x14:formula1>
            <xm:f>Assumptions!$B$37:$B$39</xm:f>
          </x14:formula1>
          <xm:sqref>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7B3D-E54C-4BE6-BAF2-B58E4DE316C7}">
  <dimension ref="C1:U388"/>
  <sheetViews>
    <sheetView zoomScale="85" zoomScaleNormal="85" workbookViewId="0"/>
  </sheetViews>
  <sheetFormatPr defaultRowHeight="16.5" x14ac:dyDescent="0.3"/>
  <cols>
    <col min="1" max="1" width="9.140625" style="171"/>
    <col min="2" max="2" width="1" style="171" customWidth="1"/>
    <col min="3" max="3" width="10.42578125" style="171" customWidth="1"/>
    <col min="4" max="4" width="9.140625" style="171"/>
    <col min="5" max="5" width="10.5703125" style="171" customWidth="1"/>
    <col min="6" max="6" width="22.5703125" style="171" bestFit="1" customWidth="1"/>
    <col min="7" max="7" width="19.85546875" style="171" bestFit="1" customWidth="1"/>
    <col min="8" max="17" width="16.28515625" style="171" customWidth="1"/>
    <col min="18" max="16384" width="9.140625" style="171"/>
  </cols>
  <sheetData>
    <row r="1" spans="3:20" s="1" customFormat="1" ht="15" x14ac:dyDescent="0.25"/>
    <row r="2" spans="3:20" s="1" customFormat="1" ht="15" x14ac:dyDescent="0.25"/>
    <row r="3" spans="3:20" s="1" customFormat="1" ht="22.5" x14ac:dyDescent="0.4">
      <c r="C3" s="50" t="s">
        <v>82</v>
      </c>
      <c r="D3" s="136"/>
      <c r="E3" s="136"/>
      <c r="F3" s="136"/>
      <c r="G3" s="136"/>
      <c r="H3" s="136"/>
      <c r="I3" s="136"/>
      <c r="J3" s="136"/>
      <c r="M3" s="50" t="s">
        <v>84</v>
      </c>
      <c r="N3" s="136"/>
      <c r="O3" s="136"/>
      <c r="P3" s="136"/>
      <c r="Q3" s="136"/>
      <c r="R3" s="136"/>
      <c r="S3" s="136"/>
      <c r="T3" s="136"/>
    </row>
    <row r="4" spans="3:20" s="1" customFormat="1" ht="15" x14ac:dyDescent="0.25"/>
    <row r="5" spans="3:20" s="1" customFormat="1" x14ac:dyDescent="0.3">
      <c r="C5" s="148" t="s">
        <v>81</v>
      </c>
      <c r="D5" s="149"/>
      <c r="E5" s="149"/>
      <c r="F5" s="149"/>
      <c r="G5" s="149"/>
      <c r="H5" s="149"/>
      <c r="I5" s="148" t="s">
        <v>83</v>
      </c>
      <c r="K5" s="149"/>
      <c r="L5" s="149"/>
      <c r="M5" s="148" t="s">
        <v>81</v>
      </c>
      <c r="N5" s="149"/>
      <c r="O5" s="149"/>
      <c r="P5" s="149"/>
      <c r="Q5" s="149"/>
      <c r="R5" s="148" t="s">
        <v>83</v>
      </c>
      <c r="S5" s="149"/>
    </row>
    <row r="6" spans="3:20" s="1" customFormat="1" x14ac:dyDescent="0.3"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</row>
    <row r="7" spans="3:20" s="1" customFormat="1" x14ac:dyDescent="0.3"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</row>
    <row r="8" spans="3:20" s="1" customFormat="1" x14ac:dyDescent="0.3"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</row>
    <row r="9" spans="3:20" s="1" customFormat="1" x14ac:dyDescent="0.3"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</row>
    <row r="10" spans="3:20" s="1" customFormat="1" x14ac:dyDescent="0.3"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</row>
    <row r="11" spans="3:20" s="1" customFormat="1" x14ac:dyDescent="0.3"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</row>
    <row r="12" spans="3:20" s="1" customFormat="1" x14ac:dyDescent="0.3"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</row>
    <row r="13" spans="3:20" s="1" customFormat="1" x14ac:dyDescent="0.3"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spans="3:20" s="1" customFormat="1" x14ac:dyDescent="0.3"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</row>
    <row r="15" spans="3:20" s="1" customFormat="1" x14ac:dyDescent="0.3"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</row>
    <row r="16" spans="3:20" s="1" customFormat="1" x14ac:dyDescent="0.3"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</row>
    <row r="17" spans="3:20" s="1" customFormat="1" x14ac:dyDescent="0.3"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</row>
    <row r="18" spans="3:20" s="1" customFormat="1" x14ac:dyDescent="0.3"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</row>
    <row r="19" spans="3:20" s="1" customFormat="1" x14ac:dyDescent="0.3"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</row>
    <row r="20" spans="3:20" s="1" customFormat="1" x14ac:dyDescent="0.3"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</row>
    <row r="21" spans="3:20" s="1" customFormat="1" x14ac:dyDescent="0.3"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spans="3:20" s="1" customFormat="1" x14ac:dyDescent="0.3"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</row>
    <row r="23" spans="3:20" s="1" customFormat="1" x14ac:dyDescent="0.3"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</row>
    <row r="24" spans="3:20" s="1" customFormat="1" x14ac:dyDescent="0.3"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</row>
    <row r="25" spans="3:20" s="1" customFormat="1" x14ac:dyDescent="0.3"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</row>
    <row r="26" spans="3:20" s="1" customFormat="1" x14ac:dyDescent="0.3"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</row>
    <row r="27" spans="3:20" s="1" customFormat="1" x14ac:dyDescent="0.3"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</row>
    <row r="28" spans="3:20" s="1" customFormat="1" x14ac:dyDescent="0.3"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</row>
    <row r="29" spans="3:20" s="1" customFormat="1" x14ac:dyDescent="0.3"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</row>
    <row r="30" spans="3:20" s="1" customFormat="1" ht="22.5" x14ac:dyDescent="0.4">
      <c r="C30" s="50" t="s">
        <v>87</v>
      </c>
      <c r="D30" s="136"/>
      <c r="E30" s="136"/>
      <c r="F30" s="136"/>
      <c r="G30" s="136"/>
      <c r="H30" s="136"/>
      <c r="I30" s="136"/>
      <c r="J30" s="136"/>
      <c r="L30" s="149"/>
      <c r="M30" s="50" t="s">
        <v>88</v>
      </c>
      <c r="N30" s="136"/>
      <c r="O30" s="136"/>
      <c r="P30" s="136"/>
      <c r="Q30" s="136"/>
      <c r="R30" s="136"/>
      <c r="S30" s="136"/>
      <c r="T30" s="136"/>
    </row>
    <row r="31" spans="3:20" s="1" customFormat="1" x14ac:dyDescent="0.3"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</row>
    <row r="32" spans="3:20" s="1" customFormat="1" x14ac:dyDescent="0.3">
      <c r="C32" s="148" t="s">
        <v>81</v>
      </c>
      <c r="D32" s="149"/>
      <c r="E32" s="149"/>
      <c r="F32" s="149"/>
      <c r="G32" s="149"/>
      <c r="H32" s="149"/>
      <c r="I32" s="149"/>
      <c r="J32" s="148" t="s">
        <v>91</v>
      </c>
      <c r="L32" s="149"/>
      <c r="M32" s="148" t="s">
        <v>81</v>
      </c>
      <c r="N32" s="149"/>
      <c r="O32" s="149"/>
      <c r="P32" s="149"/>
      <c r="Q32" s="149"/>
      <c r="R32" s="149"/>
      <c r="S32" s="148" t="s">
        <v>90</v>
      </c>
    </row>
    <row r="33" spans="3:16" s="1" customFormat="1" x14ac:dyDescent="0.3"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</row>
    <row r="34" spans="3:16" s="1" customFormat="1" x14ac:dyDescent="0.3"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</row>
    <row r="35" spans="3:16" s="1" customFormat="1" x14ac:dyDescent="0.3"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</row>
    <row r="36" spans="3:16" s="1" customFormat="1" x14ac:dyDescent="0.3"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</row>
    <row r="37" spans="3:16" s="1" customFormat="1" x14ac:dyDescent="0.3"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</row>
    <row r="38" spans="3:16" s="1" customFormat="1" x14ac:dyDescent="0.3"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</row>
    <row r="39" spans="3:16" s="1" customFormat="1" x14ac:dyDescent="0.3"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</row>
    <row r="40" spans="3:16" s="1" customFormat="1" x14ac:dyDescent="0.3"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</row>
    <row r="41" spans="3:16" s="1" customFormat="1" x14ac:dyDescent="0.3"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</row>
    <row r="42" spans="3:16" s="1" customFormat="1" x14ac:dyDescent="0.3"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</row>
    <row r="43" spans="3:16" s="1" customFormat="1" x14ac:dyDescent="0.3"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</row>
    <row r="44" spans="3:16" s="1" customFormat="1" x14ac:dyDescent="0.3"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</row>
    <row r="45" spans="3:16" s="1" customFormat="1" x14ac:dyDescent="0.3"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</row>
    <row r="46" spans="3:16" s="1" customFormat="1" x14ac:dyDescent="0.3"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</row>
    <row r="47" spans="3:16" s="1" customFormat="1" x14ac:dyDescent="0.3"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</row>
    <row r="48" spans="3:16" s="1" customFormat="1" x14ac:dyDescent="0.3"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</row>
    <row r="49" spans="3:21" s="1" customFormat="1" x14ac:dyDescent="0.3"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</row>
    <row r="50" spans="3:21" s="1" customFormat="1" x14ac:dyDescent="0.3"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</row>
    <row r="51" spans="3:21" s="1" customFormat="1" x14ac:dyDescent="0.3"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</row>
    <row r="52" spans="3:21" s="1" customFormat="1" x14ac:dyDescent="0.3"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</row>
    <row r="53" spans="3:21" s="1" customFormat="1" x14ac:dyDescent="0.3"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</row>
    <row r="54" spans="3:21" s="1" customFormat="1" x14ac:dyDescent="0.3"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</row>
    <row r="55" spans="3:21" s="1" customFormat="1" x14ac:dyDescent="0.3"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</row>
    <row r="56" spans="3:21" s="1" customFormat="1" x14ac:dyDescent="0.3"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</row>
    <row r="57" spans="3:21" s="1" customFormat="1" ht="22.5" x14ac:dyDescent="0.4">
      <c r="C57" s="50" t="s">
        <v>92</v>
      </c>
      <c r="D57" s="136"/>
      <c r="E57" s="136"/>
      <c r="F57" s="136"/>
      <c r="G57" s="136"/>
      <c r="H57" s="136"/>
      <c r="I57" s="136"/>
      <c r="J57" s="136"/>
      <c r="L57" s="149"/>
      <c r="M57" s="50" t="s">
        <v>97</v>
      </c>
      <c r="N57" s="136"/>
      <c r="O57" s="136"/>
      <c r="P57" s="136"/>
      <c r="Q57" s="136"/>
      <c r="R57" s="136"/>
      <c r="S57" s="136"/>
      <c r="T57" s="136"/>
      <c r="U57" s="136"/>
    </row>
    <row r="58" spans="3:21" s="1" customFormat="1" x14ac:dyDescent="0.3"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</row>
    <row r="59" spans="3:21" s="1" customFormat="1" x14ac:dyDescent="0.3">
      <c r="C59" s="148" t="s">
        <v>81</v>
      </c>
      <c r="D59" s="149"/>
      <c r="E59" s="149"/>
      <c r="F59" s="149"/>
      <c r="G59" s="149"/>
      <c r="H59" s="149"/>
      <c r="I59" s="148" t="s">
        <v>93</v>
      </c>
      <c r="L59" s="149"/>
      <c r="M59" s="148" t="s">
        <v>99</v>
      </c>
      <c r="N59" s="149"/>
      <c r="O59" s="149"/>
      <c r="P59" s="149"/>
      <c r="Q59" s="148" t="s">
        <v>83</v>
      </c>
    </row>
    <row r="60" spans="3:21" s="1" customFormat="1" x14ac:dyDescent="0.3"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</row>
    <row r="61" spans="3:21" s="1" customFormat="1" x14ac:dyDescent="0.3"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</row>
    <row r="62" spans="3:21" s="1" customFormat="1" x14ac:dyDescent="0.3"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</row>
    <row r="63" spans="3:21" s="1" customFormat="1" x14ac:dyDescent="0.3"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</row>
    <row r="64" spans="3:21" s="1" customFormat="1" x14ac:dyDescent="0.3"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</row>
    <row r="65" spans="3:16" s="1" customFormat="1" x14ac:dyDescent="0.3"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</row>
    <row r="66" spans="3:16" s="1" customFormat="1" x14ac:dyDescent="0.3"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</row>
    <row r="67" spans="3:16" s="1" customFormat="1" x14ac:dyDescent="0.3"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</row>
    <row r="68" spans="3:16" s="1" customFormat="1" x14ac:dyDescent="0.3"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</row>
    <row r="69" spans="3:16" s="1" customFormat="1" x14ac:dyDescent="0.3"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</row>
    <row r="70" spans="3:16" s="1" customFormat="1" x14ac:dyDescent="0.3"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</row>
    <row r="71" spans="3:16" s="1" customFormat="1" x14ac:dyDescent="0.3"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</row>
    <row r="72" spans="3:16" s="1" customFormat="1" x14ac:dyDescent="0.3"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</row>
    <row r="73" spans="3:16" s="1" customFormat="1" x14ac:dyDescent="0.3"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</row>
    <row r="74" spans="3:16" s="1" customFormat="1" x14ac:dyDescent="0.3"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</row>
    <row r="75" spans="3:16" s="1" customFormat="1" x14ac:dyDescent="0.3"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</row>
    <row r="76" spans="3:16" s="1" customFormat="1" x14ac:dyDescent="0.3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</row>
    <row r="77" spans="3:16" s="1" customFormat="1" x14ac:dyDescent="0.3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</row>
    <row r="78" spans="3:16" s="1" customFormat="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</row>
    <row r="79" spans="3:16" s="1" customFormat="1" x14ac:dyDescent="0.3"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</row>
    <row r="80" spans="3:16" s="1" customFormat="1" x14ac:dyDescent="0.3"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</row>
    <row r="81" spans="3:20" s="1" customFormat="1" ht="22.5" x14ac:dyDescent="0.4">
      <c r="C81" s="50" t="s">
        <v>101</v>
      </c>
      <c r="D81" s="136"/>
      <c r="E81" s="136"/>
      <c r="F81" s="136"/>
      <c r="G81" s="136"/>
      <c r="H81" s="136"/>
      <c r="I81" s="136"/>
      <c r="J81" s="136"/>
      <c r="K81" s="149"/>
      <c r="L81" s="149"/>
      <c r="M81" s="50" t="s">
        <v>104</v>
      </c>
      <c r="N81" s="136"/>
      <c r="O81" s="136"/>
      <c r="P81" s="136"/>
      <c r="Q81" s="136"/>
      <c r="R81" s="136"/>
      <c r="S81" s="136"/>
      <c r="T81" s="136"/>
    </row>
    <row r="82" spans="3:20" s="1" customFormat="1" x14ac:dyDescent="0.3"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</row>
    <row r="83" spans="3:20" s="1" customFormat="1" x14ac:dyDescent="0.3">
      <c r="C83" s="148" t="s">
        <v>99</v>
      </c>
      <c r="D83" s="149"/>
      <c r="E83" s="149"/>
      <c r="F83" s="149"/>
      <c r="I83" s="148" t="s">
        <v>83</v>
      </c>
      <c r="K83" s="149"/>
      <c r="L83" s="149"/>
      <c r="M83" s="148" t="s">
        <v>99</v>
      </c>
      <c r="N83" s="149"/>
      <c r="O83" s="149"/>
      <c r="P83" s="149"/>
      <c r="R83" s="148" t="s">
        <v>83</v>
      </c>
    </row>
    <row r="84" spans="3:20" s="1" customFormat="1" x14ac:dyDescent="0.3"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</row>
    <row r="85" spans="3:20" s="1" customFormat="1" x14ac:dyDescent="0.3"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</row>
    <row r="86" spans="3:20" s="1" customFormat="1" x14ac:dyDescent="0.3"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</row>
    <row r="87" spans="3:20" s="1" customFormat="1" x14ac:dyDescent="0.3"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</row>
    <row r="88" spans="3:20" s="1" customFormat="1" x14ac:dyDescent="0.3"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</row>
    <row r="89" spans="3:20" s="1" customFormat="1" x14ac:dyDescent="0.3"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</row>
    <row r="90" spans="3:20" s="1" customFormat="1" x14ac:dyDescent="0.3"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</row>
    <row r="91" spans="3:20" s="1" customFormat="1" x14ac:dyDescent="0.3"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</row>
    <row r="92" spans="3:20" s="1" customFormat="1" x14ac:dyDescent="0.3"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</row>
    <row r="93" spans="3:20" s="1" customFormat="1" x14ac:dyDescent="0.3"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</row>
    <row r="94" spans="3:20" s="1" customFormat="1" x14ac:dyDescent="0.3"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</row>
    <row r="95" spans="3:20" s="1" customFormat="1" x14ac:dyDescent="0.3"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</row>
    <row r="96" spans="3:20" s="1" customFormat="1" x14ac:dyDescent="0.3"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</row>
    <row r="97" spans="3:16" s="1" customFormat="1" x14ac:dyDescent="0.3"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</row>
    <row r="98" spans="3:16" s="1" customFormat="1" x14ac:dyDescent="0.3"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</row>
    <row r="99" spans="3:16" s="1" customFormat="1" x14ac:dyDescent="0.3"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</row>
    <row r="100" spans="3:16" s="1" customFormat="1" x14ac:dyDescent="0.3"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</row>
    <row r="101" spans="3:16" s="1" customFormat="1" x14ac:dyDescent="0.3"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</row>
    <row r="102" spans="3:16" s="1" customFormat="1" x14ac:dyDescent="0.3"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</row>
    <row r="103" spans="3:16" s="1" customFormat="1" x14ac:dyDescent="0.3"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</row>
    <row r="104" spans="3:16" s="1" customFormat="1" ht="22.5" x14ac:dyDescent="0.4">
      <c r="C104" s="50" t="s">
        <v>107</v>
      </c>
      <c r="D104" s="136"/>
      <c r="E104" s="136"/>
      <c r="F104" s="136"/>
      <c r="G104" s="136"/>
      <c r="H104" s="136"/>
      <c r="I104" s="136"/>
      <c r="J104" s="136"/>
      <c r="K104" s="149"/>
      <c r="L104" s="149"/>
      <c r="M104" s="149"/>
      <c r="N104" s="149"/>
      <c r="O104" s="149"/>
      <c r="P104" s="149"/>
    </row>
    <row r="105" spans="3:16" s="1" customFormat="1" x14ac:dyDescent="0.3"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</row>
    <row r="106" spans="3:16" s="1" customFormat="1" x14ac:dyDescent="0.3">
      <c r="C106" s="148" t="s">
        <v>99</v>
      </c>
      <c r="D106" s="149"/>
      <c r="E106" s="149"/>
      <c r="F106" s="149"/>
      <c r="I106" s="148" t="s">
        <v>83</v>
      </c>
      <c r="J106" s="149"/>
      <c r="K106" s="149"/>
      <c r="L106" s="149"/>
      <c r="M106" s="149"/>
      <c r="N106" s="149"/>
      <c r="O106" s="149"/>
      <c r="P106" s="149"/>
    </row>
    <row r="107" spans="3:16" s="1" customFormat="1" x14ac:dyDescent="0.3"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</row>
    <row r="108" spans="3:16" s="1" customFormat="1" x14ac:dyDescent="0.3"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</row>
    <row r="109" spans="3:16" s="1" customFormat="1" x14ac:dyDescent="0.3"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</row>
    <row r="110" spans="3:16" s="1" customFormat="1" x14ac:dyDescent="0.3"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</row>
    <row r="111" spans="3:16" s="1" customFormat="1" x14ac:dyDescent="0.3"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</row>
    <row r="112" spans="3:16" s="1" customFormat="1" x14ac:dyDescent="0.3"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</row>
    <row r="113" spans="3:17" s="1" customFormat="1" x14ac:dyDescent="0.3"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</row>
    <row r="114" spans="3:17" s="1" customFormat="1" x14ac:dyDescent="0.3"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</row>
    <row r="115" spans="3:17" s="1" customFormat="1" x14ac:dyDescent="0.3"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</row>
    <row r="116" spans="3:17" s="1" customFormat="1" x14ac:dyDescent="0.3"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</row>
    <row r="117" spans="3:17" s="1" customFormat="1" x14ac:dyDescent="0.3"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</row>
    <row r="118" spans="3:17" s="1" customFormat="1" x14ac:dyDescent="0.3"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</row>
    <row r="119" spans="3:17" s="1" customFormat="1" x14ac:dyDescent="0.3"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</row>
    <row r="120" spans="3:17" s="1" customFormat="1" x14ac:dyDescent="0.3"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</row>
    <row r="121" spans="3:17" s="1" customFormat="1" x14ac:dyDescent="0.3"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</row>
    <row r="122" spans="3:17" s="1" customFormat="1" x14ac:dyDescent="0.3"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</row>
    <row r="123" spans="3:17" s="1" customFormat="1" x14ac:dyDescent="0.3"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</row>
    <row r="124" spans="3:17" s="1" customFormat="1" x14ac:dyDescent="0.3"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</row>
    <row r="125" spans="3:17" s="1" customFormat="1" x14ac:dyDescent="0.3"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</row>
    <row r="126" spans="3:17" s="1" customFormat="1" x14ac:dyDescent="0.3"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</row>
    <row r="127" spans="3:17" s="1" customFormat="1" x14ac:dyDescent="0.3"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</row>
    <row r="128" spans="3:17" s="1" customFormat="1" x14ac:dyDescent="0.3"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</row>
    <row r="129" spans="3:21" s="1" customFormat="1" x14ac:dyDescent="0.3"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</row>
    <row r="130" spans="3:21" s="1" customFormat="1" ht="22.5" x14ac:dyDescent="0.4">
      <c r="C130" s="50" t="s">
        <v>76</v>
      </c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U130"/>
    </row>
    <row r="131" spans="3:21" s="1" customFormat="1" x14ac:dyDescent="0.3"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</row>
    <row r="132" spans="3:21" s="1" customFormat="1" x14ac:dyDescent="0.3">
      <c r="C132" s="149"/>
      <c r="D132" s="149"/>
      <c r="E132" s="149"/>
      <c r="F132" s="137">
        <f>CHOOSE(MONTH(F133),1,1,1,2,2,2,3,3,3,4,4,4)</f>
        <v>1</v>
      </c>
      <c r="G132" s="138">
        <f t="shared" ref="G132:Q132" si="0">CHOOSE(MONTH(G133),1,1,1,2,2,2,3,3,3,4,4,4)</f>
        <v>1</v>
      </c>
      <c r="H132" s="140">
        <f t="shared" si="0"/>
        <v>1</v>
      </c>
      <c r="I132" s="138">
        <f t="shared" si="0"/>
        <v>2</v>
      </c>
      <c r="J132" s="138">
        <f t="shared" si="0"/>
        <v>2</v>
      </c>
      <c r="K132" s="140">
        <f t="shared" si="0"/>
        <v>2</v>
      </c>
      <c r="L132" s="138">
        <f t="shared" si="0"/>
        <v>3</v>
      </c>
      <c r="M132" s="138">
        <f t="shared" si="0"/>
        <v>3</v>
      </c>
      <c r="N132" s="140">
        <f t="shared" si="0"/>
        <v>3</v>
      </c>
      <c r="O132" s="138">
        <f t="shared" si="0"/>
        <v>4</v>
      </c>
      <c r="P132" s="138">
        <f t="shared" si="0"/>
        <v>4</v>
      </c>
      <c r="Q132" s="139">
        <f t="shared" si="0"/>
        <v>4</v>
      </c>
    </row>
    <row r="133" spans="3:21" s="1" customFormat="1" ht="17.25" thickBot="1" x14ac:dyDescent="0.35">
      <c r="C133" s="149"/>
      <c r="D133" s="149"/>
      <c r="E133" s="149"/>
      <c r="F133" s="151">
        <f>Forecast_Model!E13</f>
        <v>46053</v>
      </c>
      <c r="G133" s="152">
        <f>EOMONTH(F133,1)</f>
        <v>46081</v>
      </c>
      <c r="H133" s="153">
        <f t="shared" ref="H133:Q133" si="1">EOMONTH(G133,1)</f>
        <v>46112</v>
      </c>
      <c r="I133" s="152">
        <f t="shared" si="1"/>
        <v>46142</v>
      </c>
      <c r="J133" s="152">
        <f t="shared" si="1"/>
        <v>46173</v>
      </c>
      <c r="K133" s="153">
        <f t="shared" si="1"/>
        <v>46203</v>
      </c>
      <c r="L133" s="152">
        <f t="shared" si="1"/>
        <v>46234</v>
      </c>
      <c r="M133" s="152">
        <f t="shared" si="1"/>
        <v>46265</v>
      </c>
      <c r="N133" s="153">
        <f t="shared" si="1"/>
        <v>46295</v>
      </c>
      <c r="O133" s="152">
        <f t="shared" si="1"/>
        <v>46326</v>
      </c>
      <c r="P133" s="152">
        <f t="shared" si="1"/>
        <v>46356</v>
      </c>
      <c r="Q133" s="154">
        <f t="shared" si="1"/>
        <v>46387</v>
      </c>
    </row>
    <row r="134" spans="3:21" s="1" customFormat="1" x14ac:dyDescent="0.3"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</row>
    <row r="135" spans="3:21" s="1" customFormat="1" x14ac:dyDescent="0.3">
      <c r="C135" s="148" t="s">
        <v>75</v>
      </c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</row>
    <row r="136" spans="3:21" s="1" customFormat="1" x14ac:dyDescent="0.3">
      <c r="C136" s="155">
        <v>2026</v>
      </c>
      <c r="D136" s="149"/>
      <c r="E136" s="149"/>
      <c r="F136" s="142">
        <f>Forecast_Model!E15</f>
        <v>1</v>
      </c>
      <c r="G136" s="143">
        <f>Forecast_Model!F15</f>
        <v>1</v>
      </c>
      <c r="H136" s="143">
        <f>Forecast_Model!G15</f>
        <v>1</v>
      </c>
      <c r="I136" s="143">
        <f>Forecast_Model!H15</f>
        <v>0</v>
      </c>
      <c r="J136" s="143">
        <f>Forecast_Model!I15</f>
        <v>0</v>
      </c>
      <c r="K136" s="143">
        <f>Forecast_Model!J15</f>
        <v>0</v>
      </c>
      <c r="L136" s="143">
        <f>Forecast_Model!K15</f>
        <v>0</v>
      </c>
      <c r="M136" s="143">
        <f>Forecast_Model!L15</f>
        <v>0</v>
      </c>
      <c r="N136" s="143">
        <f>Forecast_Model!M15</f>
        <v>0</v>
      </c>
      <c r="O136" s="143">
        <f>Forecast_Model!N15</f>
        <v>0</v>
      </c>
      <c r="P136" s="143">
        <f>Forecast_Model!O15</f>
        <v>0</v>
      </c>
      <c r="Q136" s="144">
        <f>Forecast_Model!P15</f>
        <v>0</v>
      </c>
    </row>
    <row r="137" spans="3:21" s="1" customFormat="1" x14ac:dyDescent="0.3">
      <c r="C137" s="155">
        <v>2027</v>
      </c>
      <c r="D137" s="149"/>
      <c r="E137" s="149"/>
      <c r="F137" s="145">
        <f>Forecast_Model!Q15</f>
        <v>0</v>
      </c>
      <c r="G137" s="146">
        <f>Forecast_Model!R15</f>
        <v>0</v>
      </c>
      <c r="H137" s="146">
        <f>Forecast_Model!S15</f>
        <v>0</v>
      </c>
      <c r="I137" s="146">
        <f>Forecast_Model!T15</f>
        <v>0</v>
      </c>
      <c r="J137" s="146">
        <f>Forecast_Model!U15</f>
        <v>0</v>
      </c>
      <c r="K137" s="146">
        <f>Forecast_Model!V15</f>
        <v>0</v>
      </c>
      <c r="L137" s="146">
        <f>Forecast_Model!W15</f>
        <v>0</v>
      </c>
      <c r="M137" s="146">
        <f>Forecast_Model!X15</f>
        <v>0</v>
      </c>
      <c r="N137" s="146">
        <f>Forecast_Model!Y15</f>
        <v>0</v>
      </c>
      <c r="O137" s="146">
        <f>Forecast_Model!Z15</f>
        <v>0</v>
      </c>
      <c r="P137" s="146">
        <f>Forecast_Model!AA15</f>
        <v>0</v>
      </c>
      <c r="Q137" s="147">
        <f>Forecast_Model!AB15</f>
        <v>0</v>
      </c>
    </row>
    <row r="138" spans="3:21" s="1" customFormat="1" x14ac:dyDescent="0.3"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</row>
    <row r="139" spans="3:21" s="1" customFormat="1" x14ac:dyDescent="0.3"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</row>
    <row r="140" spans="3:21" s="1" customFormat="1" x14ac:dyDescent="0.3"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</row>
    <row r="141" spans="3:21" s="1" customFormat="1" ht="22.5" x14ac:dyDescent="0.4">
      <c r="C141" s="50" t="s">
        <v>74</v>
      </c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</row>
    <row r="142" spans="3:21" s="1" customFormat="1" x14ac:dyDescent="0.3"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</row>
    <row r="143" spans="3:21" s="1" customFormat="1" x14ac:dyDescent="0.3">
      <c r="C143" s="149"/>
      <c r="D143" s="149"/>
      <c r="E143" s="149"/>
      <c r="F143" s="137">
        <f>F$132</f>
        <v>1</v>
      </c>
      <c r="G143" s="138">
        <f t="shared" ref="G143:Q143" si="2">G$132</f>
        <v>1</v>
      </c>
      <c r="H143" s="140">
        <f t="shared" si="2"/>
        <v>1</v>
      </c>
      <c r="I143" s="138">
        <f t="shared" si="2"/>
        <v>2</v>
      </c>
      <c r="J143" s="138">
        <f t="shared" si="2"/>
        <v>2</v>
      </c>
      <c r="K143" s="140">
        <f t="shared" si="2"/>
        <v>2</v>
      </c>
      <c r="L143" s="138">
        <f t="shared" si="2"/>
        <v>3</v>
      </c>
      <c r="M143" s="138">
        <f t="shared" si="2"/>
        <v>3</v>
      </c>
      <c r="N143" s="140">
        <f t="shared" si="2"/>
        <v>3</v>
      </c>
      <c r="O143" s="138">
        <f t="shared" si="2"/>
        <v>4</v>
      </c>
      <c r="P143" s="138">
        <f t="shared" si="2"/>
        <v>4</v>
      </c>
      <c r="Q143" s="139">
        <f t="shared" si="2"/>
        <v>4</v>
      </c>
    </row>
    <row r="144" spans="3:21" s="1" customFormat="1" ht="17.25" thickBot="1" x14ac:dyDescent="0.35">
      <c r="C144" s="149"/>
      <c r="D144" s="149"/>
      <c r="E144" s="149"/>
      <c r="F144" s="151">
        <f>F$133</f>
        <v>46053</v>
      </c>
      <c r="G144" s="152">
        <f t="shared" ref="G144:Q144" si="3">G$133</f>
        <v>46081</v>
      </c>
      <c r="H144" s="153">
        <f t="shared" si="3"/>
        <v>46112</v>
      </c>
      <c r="I144" s="152">
        <f t="shared" si="3"/>
        <v>46142</v>
      </c>
      <c r="J144" s="152">
        <f t="shared" si="3"/>
        <v>46173</v>
      </c>
      <c r="K144" s="153">
        <f t="shared" si="3"/>
        <v>46203</v>
      </c>
      <c r="L144" s="152">
        <f t="shared" si="3"/>
        <v>46234</v>
      </c>
      <c r="M144" s="152">
        <f t="shared" si="3"/>
        <v>46265</v>
      </c>
      <c r="N144" s="153">
        <f t="shared" si="3"/>
        <v>46295</v>
      </c>
      <c r="O144" s="152">
        <f t="shared" si="3"/>
        <v>46326</v>
      </c>
      <c r="P144" s="152">
        <f t="shared" si="3"/>
        <v>46356</v>
      </c>
      <c r="Q144" s="154">
        <f t="shared" si="3"/>
        <v>46387</v>
      </c>
    </row>
    <row r="145" spans="3:17" s="1" customFormat="1" x14ac:dyDescent="0.3"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</row>
    <row r="146" spans="3:17" s="1" customFormat="1" x14ac:dyDescent="0.3">
      <c r="C146" s="148" t="s">
        <v>17</v>
      </c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</row>
    <row r="147" spans="3:17" s="1" customFormat="1" x14ac:dyDescent="0.3">
      <c r="C147" s="155">
        <f>C$136</f>
        <v>2026</v>
      </c>
      <c r="D147" s="149"/>
      <c r="E147" s="149"/>
      <c r="F147" s="157">
        <f>Forecast_Model!E32</f>
        <v>591600000</v>
      </c>
      <c r="G147" s="158">
        <f>Forecast_Model!F32</f>
        <v>636900000</v>
      </c>
      <c r="H147" s="158">
        <f>Forecast_Model!G32</f>
        <v>596400000</v>
      </c>
      <c r="I147" s="158">
        <f>Forecast_Model!H32</f>
        <v>600000000</v>
      </c>
      <c r="J147" s="158">
        <f>Forecast_Model!I32</f>
        <v>600000000</v>
      </c>
      <c r="K147" s="158">
        <f>Forecast_Model!J32</f>
        <v>378000000</v>
      </c>
      <c r="L147" s="158">
        <f>Forecast_Model!K32</f>
        <v>378000000</v>
      </c>
      <c r="M147" s="158">
        <f>Forecast_Model!L32</f>
        <v>378000000</v>
      </c>
      <c r="N147" s="158">
        <f>Forecast_Model!M32</f>
        <v>378000000</v>
      </c>
      <c r="O147" s="158">
        <f>Forecast_Model!N32</f>
        <v>378000000</v>
      </c>
      <c r="P147" s="158">
        <f>Forecast_Model!O32</f>
        <v>378000000</v>
      </c>
      <c r="Q147" s="159">
        <f>Forecast_Model!P32</f>
        <v>378000000</v>
      </c>
    </row>
    <row r="148" spans="3:17" s="1" customFormat="1" x14ac:dyDescent="0.3">
      <c r="C148" s="155">
        <f>C$137</f>
        <v>2027</v>
      </c>
      <c r="D148" s="149"/>
      <c r="E148" s="149"/>
      <c r="F148" s="160">
        <f>Forecast_Model!Q32</f>
        <v>385560000</v>
      </c>
      <c r="G148" s="161">
        <f>Forecast_Model!R32</f>
        <v>385560000</v>
      </c>
      <c r="H148" s="161">
        <f>Forecast_Model!S32</f>
        <v>385560000</v>
      </c>
      <c r="I148" s="161">
        <f>Forecast_Model!T32</f>
        <v>393185520</v>
      </c>
      <c r="J148" s="161">
        <f>Forecast_Model!U32</f>
        <v>400884479.99999994</v>
      </c>
      <c r="K148" s="161">
        <f>Forecast_Model!V32</f>
        <v>408656879.99999994</v>
      </c>
      <c r="L148" s="161">
        <f>Forecast_Model!W32</f>
        <v>416502720</v>
      </c>
      <c r="M148" s="161">
        <f>Forecast_Model!X32</f>
        <v>424422000</v>
      </c>
      <c r="N148" s="161">
        <f>Forecast_Model!Y32</f>
        <v>432414720</v>
      </c>
      <c r="O148" s="161">
        <f>Forecast_Model!Z32</f>
        <v>440480880</v>
      </c>
      <c r="P148" s="161">
        <f>Forecast_Model!AA32</f>
        <v>448620480</v>
      </c>
      <c r="Q148" s="162">
        <f>Forecast_Model!AB32</f>
        <v>456833520</v>
      </c>
    </row>
    <row r="149" spans="3:17" s="1" customFormat="1" x14ac:dyDescent="0.3"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</row>
    <row r="150" spans="3:17" s="1" customFormat="1" x14ac:dyDescent="0.3">
      <c r="C150" s="148" t="s">
        <v>77</v>
      </c>
      <c r="D150" s="148" t="s">
        <v>78</v>
      </c>
      <c r="E150" s="148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</row>
    <row r="151" spans="3:17" s="1" customFormat="1" x14ac:dyDescent="0.3">
      <c r="C151" s="149" t="s">
        <v>79</v>
      </c>
      <c r="D151" s="149">
        <f>C$147</f>
        <v>2026</v>
      </c>
      <c r="E151" s="149"/>
      <c r="F151" s="163">
        <f>IFERROR(F147/F$136,NA())</f>
        <v>591600000</v>
      </c>
      <c r="G151" s="164">
        <f t="shared" ref="G151:Q151" si="4">IFERROR(G147/G$136,NA())</f>
        <v>636900000</v>
      </c>
      <c r="H151" s="164">
        <f t="shared" si="4"/>
        <v>596400000</v>
      </c>
      <c r="I151" s="220" t="e">
        <f t="shared" si="4"/>
        <v>#N/A</v>
      </c>
      <c r="J151" s="220" t="e">
        <f t="shared" si="4"/>
        <v>#N/A</v>
      </c>
      <c r="K151" s="220" t="e">
        <f t="shared" si="4"/>
        <v>#N/A</v>
      </c>
      <c r="L151" s="220" t="e">
        <f t="shared" si="4"/>
        <v>#N/A</v>
      </c>
      <c r="M151" s="220" t="e">
        <f t="shared" si="4"/>
        <v>#N/A</v>
      </c>
      <c r="N151" s="220" t="e">
        <f t="shared" si="4"/>
        <v>#N/A</v>
      </c>
      <c r="O151" s="220" t="e">
        <f t="shared" si="4"/>
        <v>#N/A</v>
      </c>
      <c r="P151" s="220" t="e">
        <f t="shared" si="4"/>
        <v>#N/A</v>
      </c>
      <c r="Q151" s="221" t="e">
        <f t="shared" si="4"/>
        <v>#N/A</v>
      </c>
    </row>
    <row r="152" spans="3:17" s="1" customFormat="1" x14ac:dyDescent="0.3">
      <c r="C152" s="149" t="s">
        <v>79</v>
      </c>
      <c r="D152" s="149">
        <f>C$148</f>
        <v>2027</v>
      </c>
      <c r="E152" s="149"/>
      <c r="F152" s="217" t="e">
        <f>IFERROR(F148/F$137,NA())</f>
        <v>#N/A</v>
      </c>
      <c r="G152" s="218" t="e">
        <f t="shared" ref="G152:Q152" si="5">IFERROR(G148/G$137,NA())</f>
        <v>#N/A</v>
      </c>
      <c r="H152" s="218" t="e">
        <f t="shared" si="5"/>
        <v>#N/A</v>
      </c>
      <c r="I152" s="218" t="e">
        <f t="shared" si="5"/>
        <v>#N/A</v>
      </c>
      <c r="J152" s="218" t="e">
        <f t="shared" si="5"/>
        <v>#N/A</v>
      </c>
      <c r="K152" s="218" t="e">
        <f t="shared" si="5"/>
        <v>#N/A</v>
      </c>
      <c r="L152" s="218" t="e">
        <f t="shared" si="5"/>
        <v>#N/A</v>
      </c>
      <c r="M152" s="218" t="e">
        <f t="shared" si="5"/>
        <v>#N/A</v>
      </c>
      <c r="N152" s="218" t="e">
        <f t="shared" si="5"/>
        <v>#N/A</v>
      </c>
      <c r="O152" s="218" t="e">
        <f t="shared" si="5"/>
        <v>#N/A</v>
      </c>
      <c r="P152" s="218" t="e">
        <f t="shared" si="5"/>
        <v>#N/A</v>
      </c>
      <c r="Q152" s="219" t="e">
        <f t="shared" si="5"/>
        <v>#N/A</v>
      </c>
    </row>
    <row r="153" spans="3:17" s="1" customFormat="1" x14ac:dyDescent="0.3">
      <c r="C153" s="149" t="s">
        <v>80</v>
      </c>
      <c r="D153" s="149">
        <f>C$147</f>
        <v>2026</v>
      </c>
      <c r="E153" s="149"/>
      <c r="F153" s="167">
        <f>F147</f>
        <v>591600000</v>
      </c>
      <c r="G153" s="149">
        <f t="shared" ref="G153:Q153" si="6">G147</f>
        <v>636900000</v>
      </c>
      <c r="H153" s="149">
        <f t="shared" si="6"/>
        <v>596400000</v>
      </c>
      <c r="I153" s="149">
        <f t="shared" si="6"/>
        <v>600000000</v>
      </c>
      <c r="J153" s="149">
        <f t="shared" si="6"/>
        <v>600000000</v>
      </c>
      <c r="K153" s="149">
        <f t="shared" si="6"/>
        <v>378000000</v>
      </c>
      <c r="L153" s="149">
        <f t="shared" si="6"/>
        <v>378000000</v>
      </c>
      <c r="M153" s="149">
        <f t="shared" si="6"/>
        <v>378000000</v>
      </c>
      <c r="N153" s="149">
        <f t="shared" si="6"/>
        <v>378000000</v>
      </c>
      <c r="O153" s="149">
        <f t="shared" si="6"/>
        <v>378000000</v>
      </c>
      <c r="P153" s="149">
        <f t="shared" si="6"/>
        <v>378000000</v>
      </c>
      <c r="Q153" s="166">
        <f t="shared" si="6"/>
        <v>378000000</v>
      </c>
    </row>
    <row r="154" spans="3:17" s="1" customFormat="1" x14ac:dyDescent="0.3">
      <c r="C154" s="149" t="s">
        <v>80</v>
      </c>
      <c r="D154" s="149">
        <f>C$148</f>
        <v>2027</v>
      </c>
      <c r="E154" s="149"/>
      <c r="F154" s="168">
        <f t="shared" ref="F154:Q154" si="7">F148</f>
        <v>385560000</v>
      </c>
      <c r="G154" s="156">
        <f t="shared" si="7"/>
        <v>385560000</v>
      </c>
      <c r="H154" s="156">
        <f t="shared" si="7"/>
        <v>385560000</v>
      </c>
      <c r="I154" s="156">
        <f t="shared" si="7"/>
        <v>393185520</v>
      </c>
      <c r="J154" s="156">
        <f t="shared" si="7"/>
        <v>400884479.99999994</v>
      </c>
      <c r="K154" s="156">
        <f t="shared" si="7"/>
        <v>408656879.99999994</v>
      </c>
      <c r="L154" s="156">
        <f t="shared" si="7"/>
        <v>416502720</v>
      </c>
      <c r="M154" s="156">
        <f t="shared" si="7"/>
        <v>424422000</v>
      </c>
      <c r="N154" s="156">
        <f t="shared" si="7"/>
        <v>432414720</v>
      </c>
      <c r="O154" s="156">
        <f t="shared" si="7"/>
        <v>440480880</v>
      </c>
      <c r="P154" s="156">
        <f t="shared" si="7"/>
        <v>448620480</v>
      </c>
      <c r="Q154" s="169">
        <f t="shared" si="7"/>
        <v>456833520</v>
      </c>
    </row>
    <row r="157" spans="3:17" x14ac:dyDescent="0.3"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</row>
    <row r="158" spans="3:17" ht="22.5" x14ac:dyDescent="0.4">
      <c r="C158" s="50" t="s">
        <v>85</v>
      </c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</row>
    <row r="159" spans="3:17" x14ac:dyDescent="0.3"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</row>
    <row r="160" spans="3:17" x14ac:dyDescent="0.3">
      <c r="C160" s="149"/>
      <c r="D160" s="149"/>
      <c r="E160" s="149"/>
      <c r="F160" s="172">
        <f>F$132</f>
        <v>1</v>
      </c>
      <c r="G160" s="173">
        <f t="shared" ref="G160:Q160" si="8">G$132</f>
        <v>1</v>
      </c>
      <c r="H160" s="174">
        <f t="shared" si="8"/>
        <v>1</v>
      </c>
      <c r="I160" s="173">
        <f t="shared" si="8"/>
        <v>2</v>
      </c>
      <c r="J160" s="173">
        <f t="shared" si="8"/>
        <v>2</v>
      </c>
      <c r="K160" s="174">
        <f t="shared" si="8"/>
        <v>2</v>
      </c>
      <c r="L160" s="173">
        <f t="shared" si="8"/>
        <v>3</v>
      </c>
      <c r="M160" s="173">
        <f t="shared" si="8"/>
        <v>3</v>
      </c>
      <c r="N160" s="174">
        <f t="shared" si="8"/>
        <v>3</v>
      </c>
      <c r="O160" s="173">
        <f t="shared" si="8"/>
        <v>4</v>
      </c>
      <c r="P160" s="173">
        <f t="shared" si="8"/>
        <v>4</v>
      </c>
      <c r="Q160" s="175">
        <f t="shared" si="8"/>
        <v>4</v>
      </c>
    </row>
    <row r="161" spans="3:17" ht="17.25" thickBot="1" x14ac:dyDescent="0.35">
      <c r="C161" s="149"/>
      <c r="D161" s="149"/>
      <c r="E161" s="149"/>
      <c r="F161" s="151">
        <f>F$133</f>
        <v>46053</v>
      </c>
      <c r="G161" s="152">
        <f t="shared" ref="G161:Q161" si="9">G$133</f>
        <v>46081</v>
      </c>
      <c r="H161" s="153">
        <f t="shared" si="9"/>
        <v>46112</v>
      </c>
      <c r="I161" s="152">
        <f t="shared" si="9"/>
        <v>46142</v>
      </c>
      <c r="J161" s="152">
        <f t="shared" si="9"/>
        <v>46173</v>
      </c>
      <c r="K161" s="153">
        <f t="shared" si="9"/>
        <v>46203</v>
      </c>
      <c r="L161" s="152">
        <f t="shared" si="9"/>
        <v>46234</v>
      </c>
      <c r="M161" s="152">
        <f t="shared" si="9"/>
        <v>46265</v>
      </c>
      <c r="N161" s="153">
        <f t="shared" si="9"/>
        <v>46295</v>
      </c>
      <c r="O161" s="152">
        <f t="shared" si="9"/>
        <v>46326</v>
      </c>
      <c r="P161" s="152">
        <f t="shared" si="9"/>
        <v>46356</v>
      </c>
      <c r="Q161" s="154">
        <f t="shared" si="9"/>
        <v>46387</v>
      </c>
    </row>
    <row r="162" spans="3:17" x14ac:dyDescent="0.3"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</row>
    <row r="163" spans="3:17" x14ac:dyDescent="0.3">
      <c r="C163" s="148" t="s">
        <v>19</v>
      </c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</row>
    <row r="164" spans="3:17" x14ac:dyDescent="0.3">
      <c r="C164" s="149">
        <f>C$136</f>
        <v>2026</v>
      </c>
      <c r="D164" s="149"/>
      <c r="E164" s="149"/>
      <c r="F164" s="163">
        <f>Forecast_Model!E36</f>
        <v>66780000</v>
      </c>
      <c r="G164" s="164">
        <f>Forecast_Model!F36</f>
        <v>81914999.341116875</v>
      </c>
      <c r="H164" s="164">
        <f>Forecast_Model!G36</f>
        <v>64384278.196240693</v>
      </c>
      <c r="I164" s="164">
        <f>Forecast_Model!H36</f>
        <v>63601388.969026238</v>
      </c>
      <c r="J164" s="164">
        <f>Forecast_Model!I36</f>
        <v>61450020.949203014</v>
      </c>
      <c r="K164" s="164">
        <f>Forecast_Model!J36</f>
        <v>-49092297.850537419</v>
      </c>
      <c r="L164" s="164">
        <f>Forecast_Model!K36</f>
        <v>-50731179.841444284</v>
      </c>
      <c r="M164" s="164">
        <f>Forecast_Model!L36</f>
        <v>-52376940.316485226</v>
      </c>
      <c r="N164" s="164">
        <f>Forecast_Model!M36</f>
        <v>-54029609.991258502</v>
      </c>
      <c r="O164" s="164">
        <f>Forecast_Model!N36</f>
        <v>-55689219.723824084</v>
      </c>
      <c r="P164" s="164">
        <f>Forecast_Model!O36</f>
        <v>-57355800.515378833</v>
      </c>
      <c r="Q164" s="165">
        <f>Forecast_Model!P36</f>
        <v>-59029383.510934561</v>
      </c>
    </row>
    <row r="165" spans="3:17" x14ac:dyDescent="0.3">
      <c r="C165" s="149">
        <f>C$137</f>
        <v>2027</v>
      </c>
      <c r="D165" s="149"/>
      <c r="E165" s="149"/>
      <c r="F165" s="168">
        <f>Forecast_Model!Q36</f>
        <v>-53150000.000000209</v>
      </c>
      <c r="G165" s="156">
        <f>Forecast_Model!R36</f>
        <v>-54837681.417266279</v>
      </c>
      <c r="H165" s="156">
        <f>Forecast_Model!S36</f>
        <v>-56532459.343293071</v>
      </c>
      <c r="I165" s="156">
        <f>Forecast_Model!T36</f>
        <v>-52989748.637284368</v>
      </c>
      <c r="J165" s="156">
        <f>Forecast_Model!U36</f>
        <v>-49403037.077131152</v>
      </c>
      <c r="K165" s="156">
        <f>Forecast_Model!V36</f>
        <v>-45772515.658696085</v>
      </c>
      <c r="L165" s="156">
        <f>Forecast_Model!W36</f>
        <v>-42098376.544114411</v>
      </c>
      <c r="M165" s="156">
        <f>Forecast_Model!X36</f>
        <v>-38380813.068636298</v>
      </c>
      <c r="N165" s="156">
        <f>Forecast_Model!Y36</f>
        <v>-34620019.747508287</v>
      </c>
      <c r="O165" s="156">
        <f>Forecast_Model!Z36</f>
        <v>-30816192.28289482</v>
      </c>
      <c r="P165" s="156">
        <f>Forecast_Model!AA36</f>
        <v>-26969527.57083863</v>
      </c>
      <c r="Q165" s="169">
        <f>Forecast_Model!AB36</f>
        <v>-23080223.708260715</v>
      </c>
    </row>
    <row r="166" spans="3:17" x14ac:dyDescent="0.3"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</row>
    <row r="167" spans="3:17" x14ac:dyDescent="0.3">
      <c r="C167" s="148" t="s">
        <v>77</v>
      </c>
      <c r="D167" s="148" t="s">
        <v>78</v>
      </c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</row>
    <row r="168" spans="3:17" x14ac:dyDescent="0.3">
      <c r="C168" s="149" t="s">
        <v>79</v>
      </c>
      <c r="D168" s="149">
        <f>C$147</f>
        <v>2026</v>
      </c>
      <c r="E168" s="149"/>
      <c r="F168" s="176">
        <f t="shared" ref="F168:Q168" si="10">IFERROR(F164/F$136,NA())</f>
        <v>66780000</v>
      </c>
      <c r="G168" s="177">
        <f t="shared" si="10"/>
        <v>81914999.341116875</v>
      </c>
      <c r="H168" s="177">
        <f t="shared" si="10"/>
        <v>64384278.196240693</v>
      </c>
      <c r="I168" s="215" t="e">
        <f t="shared" si="10"/>
        <v>#N/A</v>
      </c>
      <c r="J168" s="215" t="e">
        <f t="shared" si="10"/>
        <v>#N/A</v>
      </c>
      <c r="K168" s="215" t="e">
        <f t="shared" si="10"/>
        <v>#N/A</v>
      </c>
      <c r="L168" s="215" t="e">
        <f t="shared" si="10"/>
        <v>#N/A</v>
      </c>
      <c r="M168" s="215" t="e">
        <f t="shared" si="10"/>
        <v>#N/A</v>
      </c>
      <c r="N168" s="215" t="e">
        <f t="shared" si="10"/>
        <v>#N/A</v>
      </c>
      <c r="O168" s="215" t="e">
        <f t="shared" si="10"/>
        <v>#N/A</v>
      </c>
      <c r="P168" s="215" t="e">
        <f t="shared" si="10"/>
        <v>#N/A</v>
      </c>
      <c r="Q168" s="216" t="e">
        <f t="shared" si="10"/>
        <v>#N/A</v>
      </c>
    </row>
    <row r="169" spans="3:17" x14ac:dyDescent="0.3">
      <c r="C169" s="149" t="s">
        <v>79</v>
      </c>
      <c r="D169" s="149">
        <f>C$148</f>
        <v>2027</v>
      </c>
      <c r="E169" s="149"/>
      <c r="F169" s="212" t="e">
        <f t="shared" ref="F169:Q169" si="11">IFERROR(F165/F$137,NA())</f>
        <v>#N/A</v>
      </c>
      <c r="G169" s="213" t="e">
        <f t="shared" si="11"/>
        <v>#N/A</v>
      </c>
      <c r="H169" s="213" t="e">
        <f t="shared" si="11"/>
        <v>#N/A</v>
      </c>
      <c r="I169" s="213" t="e">
        <f t="shared" si="11"/>
        <v>#N/A</v>
      </c>
      <c r="J169" s="213" t="e">
        <f t="shared" si="11"/>
        <v>#N/A</v>
      </c>
      <c r="K169" s="213" t="e">
        <f t="shared" si="11"/>
        <v>#N/A</v>
      </c>
      <c r="L169" s="213" t="e">
        <f t="shared" si="11"/>
        <v>#N/A</v>
      </c>
      <c r="M169" s="213" t="e">
        <f t="shared" si="11"/>
        <v>#N/A</v>
      </c>
      <c r="N169" s="213" t="e">
        <f t="shared" si="11"/>
        <v>#N/A</v>
      </c>
      <c r="O169" s="213" t="e">
        <f t="shared" si="11"/>
        <v>#N/A</v>
      </c>
      <c r="P169" s="213" t="e">
        <f t="shared" si="11"/>
        <v>#N/A</v>
      </c>
      <c r="Q169" s="214" t="e">
        <f t="shared" si="11"/>
        <v>#N/A</v>
      </c>
    </row>
    <row r="170" spans="3:17" x14ac:dyDescent="0.3">
      <c r="C170" s="149" t="s">
        <v>80</v>
      </c>
      <c r="D170" s="149">
        <f>C$147</f>
        <v>2026</v>
      </c>
      <c r="E170" s="149"/>
      <c r="F170" s="178">
        <f t="shared" ref="F170:Q170" si="12">F164</f>
        <v>66780000</v>
      </c>
      <c r="G170" s="179">
        <f t="shared" si="12"/>
        <v>81914999.341116875</v>
      </c>
      <c r="H170" s="179">
        <f t="shared" si="12"/>
        <v>64384278.196240693</v>
      </c>
      <c r="I170" s="179">
        <f t="shared" si="12"/>
        <v>63601388.969026238</v>
      </c>
      <c r="J170" s="179">
        <f t="shared" si="12"/>
        <v>61450020.949203014</v>
      </c>
      <c r="K170" s="179">
        <f t="shared" si="12"/>
        <v>-49092297.850537419</v>
      </c>
      <c r="L170" s="179">
        <f t="shared" si="12"/>
        <v>-50731179.841444284</v>
      </c>
      <c r="M170" s="179">
        <f t="shared" si="12"/>
        <v>-52376940.316485226</v>
      </c>
      <c r="N170" s="179">
        <f t="shared" si="12"/>
        <v>-54029609.991258502</v>
      </c>
      <c r="O170" s="179">
        <f t="shared" si="12"/>
        <v>-55689219.723824084</v>
      </c>
      <c r="P170" s="179">
        <f t="shared" si="12"/>
        <v>-57355800.515378833</v>
      </c>
      <c r="Q170" s="180">
        <f t="shared" si="12"/>
        <v>-59029383.510934561</v>
      </c>
    </row>
    <row r="171" spans="3:17" x14ac:dyDescent="0.3">
      <c r="C171" s="149" t="s">
        <v>80</v>
      </c>
      <c r="D171" s="149">
        <f>C$148</f>
        <v>2027</v>
      </c>
      <c r="E171" s="149"/>
      <c r="F171" s="181">
        <f t="shared" ref="F171:Q171" si="13">F165</f>
        <v>-53150000.000000209</v>
      </c>
      <c r="G171" s="182">
        <f t="shared" si="13"/>
        <v>-54837681.417266279</v>
      </c>
      <c r="H171" s="182">
        <f t="shared" si="13"/>
        <v>-56532459.343293071</v>
      </c>
      <c r="I171" s="182">
        <f t="shared" si="13"/>
        <v>-52989748.637284368</v>
      </c>
      <c r="J171" s="182">
        <f t="shared" si="13"/>
        <v>-49403037.077131152</v>
      </c>
      <c r="K171" s="182">
        <f t="shared" si="13"/>
        <v>-45772515.658696085</v>
      </c>
      <c r="L171" s="182">
        <f t="shared" si="13"/>
        <v>-42098376.544114411</v>
      </c>
      <c r="M171" s="182">
        <f t="shared" si="13"/>
        <v>-38380813.068636298</v>
      </c>
      <c r="N171" s="182">
        <f t="shared" si="13"/>
        <v>-34620019.747508287</v>
      </c>
      <c r="O171" s="182">
        <f t="shared" si="13"/>
        <v>-30816192.28289482</v>
      </c>
      <c r="P171" s="182">
        <f t="shared" si="13"/>
        <v>-26969527.57083863</v>
      </c>
      <c r="Q171" s="183">
        <f t="shared" si="13"/>
        <v>-23080223.708260715</v>
      </c>
    </row>
    <row r="172" spans="3:17" x14ac:dyDescent="0.3"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</row>
    <row r="173" spans="3:17" x14ac:dyDescent="0.3"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</row>
    <row r="174" spans="3:17" x14ac:dyDescent="0.3"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</row>
    <row r="175" spans="3:17" ht="22.5" x14ac:dyDescent="0.4">
      <c r="C175" s="50" t="s">
        <v>86</v>
      </c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</row>
    <row r="176" spans="3:17" x14ac:dyDescent="0.3"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</row>
    <row r="177" spans="3:17" x14ac:dyDescent="0.3">
      <c r="C177" s="149"/>
      <c r="D177" s="149"/>
      <c r="E177" s="149"/>
      <c r="F177" s="172">
        <f>F$132</f>
        <v>1</v>
      </c>
      <c r="G177" s="173">
        <f t="shared" ref="G177:Q177" si="14">G$132</f>
        <v>1</v>
      </c>
      <c r="H177" s="174">
        <f t="shared" si="14"/>
        <v>1</v>
      </c>
      <c r="I177" s="173">
        <f t="shared" si="14"/>
        <v>2</v>
      </c>
      <c r="J177" s="173">
        <f t="shared" si="14"/>
        <v>2</v>
      </c>
      <c r="K177" s="174">
        <f t="shared" si="14"/>
        <v>2</v>
      </c>
      <c r="L177" s="173">
        <f t="shared" si="14"/>
        <v>3</v>
      </c>
      <c r="M177" s="173">
        <f t="shared" si="14"/>
        <v>3</v>
      </c>
      <c r="N177" s="174">
        <f t="shared" si="14"/>
        <v>3</v>
      </c>
      <c r="O177" s="173">
        <f t="shared" si="14"/>
        <v>4</v>
      </c>
      <c r="P177" s="173">
        <f t="shared" si="14"/>
        <v>4</v>
      </c>
      <c r="Q177" s="175">
        <f t="shared" si="14"/>
        <v>4</v>
      </c>
    </row>
    <row r="178" spans="3:17" ht="17.25" thickBot="1" x14ac:dyDescent="0.35">
      <c r="C178" s="149"/>
      <c r="D178" s="149"/>
      <c r="E178" s="149"/>
      <c r="F178" s="151">
        <f>F$133</f>
        <v>46053</v>
      </c>
      <c r="G178" s="152">
        <f t="shared" ref="G178:Q178" si="15">G$133</f>
        <v>46081</v>
      </c>
      <c r="H178" s="153">
        <f t="shared" si="15"/>
        <v>46112</v>
      </c>
      <c r="I178" s="152">
        <f t="shared" si="15"/>
        <v>46142</v>
      </c>
      <c r="J178" s="152">
        <f t="shared" si="15"/>
        <v>46173</v>
      </c>
      <c r="K178" s="153">
        <f t="shared" si="15"/>
        <v>46203</v>
      </c>
      <c r="L178" s="152">
        <f t="shared" si="15"/>
        <v>46234</v>
      </c>
      <c r="M178" s="152">
        <f t="shared" si="15"/>
        <v>46265</v>
      </c>
      <c r="N178" s="153">
        <f t="shared" si="15"/>
        <v>46295</v>
      </c>
      <c r="O178" s="152">
        <f t="shared" si="15"/>
        <v>46326</v>
      </c>
      <c r="P178" s="152">
        <f t="shared" si="15"/>
        <v>46356</v>
      </c>
      <c r="Q178" s="154">
        <f t="shared" si="15"/>
        <v>46387</v>
      </c>
    </row>
    <row r="179" spans="3:17" x14ac:dyDescent="0.3"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</row>
    <row r="180" spans="3:17" x14ac:dyDescent="0.3">
      <c r="C180" s="148" t="s">
        <v>110</v>
      </c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</row>
    <row r="181" spans="3:17" x14ac:dyDescent="0.3">
      <c r="C181" s="149">
        <f>C$136</f>
        <v>2026</v>
      </c>
      <c r="D181" s="149"/>
      <c r="E181" s="149"/>
      <c r="F181" s="189">
        <f>Forecast_Model!E37</f>
        <v>0.11288032454361055</v>
      </c>
      <c r="G181" s="184">
        <f>Forecast_Model!F37</f>
        <v>0.12861516618168767</v>
      </c>
      <c r="H181" s="184">
        <f>Forecast_Model!G37</f>
        <v>0.10795485948397165</v>
      </c>
      <c r="I181" s="184">
        <f>Forecast_Model!H37</f>
        <v>0.10600231494837706</v>
      </c>
      <c r="J181" s="184">
        <f>Forecast_Model!I37</f>
        <v>0.10241670158200503</v>
      </c>
      <c r="K181" s="184">
        <f>Forecast_Model!J37</f>
        <v>-0.12987380383740058</v>
      </c>
      <c r="L181" s="184">
        <f>Forecast_Model!K37</f>
        <v>-0.13420947048001133</v>
      </c>
      <c r="M181" s="184">
        <f>Forecast_Model!L37</f>
        <v>-0.13856333417059583</v>
      </c>
      <c r="N181" s="184">
        <f>Forecast_Model!M37</f>
        <v>-0.14293547616735053</v>
      </c>
      <c r="O181" s="184">
        <f>Forecast_Model!N37</f>
        <v>-0.14732597810535472</v>
      </c>
      <c r="P181" s="184">
        <f>Forecast_Model!O37</f>
        <v>-0.1517349219983567</v>
      </c>
      <c r="Q181" s="185">
        <f>Forecast_Model!P37</f>
        <v>-0.15616239024056763</v>
      </c>
    </row>
    <row r="182" spans="3:17" x14ac:dyDescent="0.3">
      <c r="C182" s="149">
        <f>C$137</f>
        <v>2027</v>
      </c>
      <c r="D182" s="149"/>
      <c r="E182" s="149"/>
      <c r="F182" s="188">
        <f>Forecast_Model!Q37</f>
        <v>-0.13785143687104526</v>
      </c>
      <c r="G182" s="186">
        <f>Forecast_Model!R37</f>
        <v>-0.14222865810059726</v>
      </c>
      <c r="H182" s="186">
        <f>Forecast_Model!S37</f>
        <v>-0.14662428504848291</v>
      </c>
      <c r="I182" s="186">
        <f>Forecast_Model!T37</f>
        <v>-0.13477034616453926</v>
      </c>
      <c r="J182" s="186">
        <f>Forecast_Model!U37</f>
        <v>-0.12323509525021063</v>
      </c>
      <c r="K182" s="186">
        <f>Forecast_Model!V37</f>
        <v>-0.11200720677624733</v>
      </c>
      <c r="L182" s="186">
        <f>Forecast_Model!W37</f>
        <v>-0.1010758742322605</v>
      </c>
      <c r="M182" s="186">
        <f>Forecast_Model!X37</f>
        <v>-9.0430781318207587E-2</v>
      </c>
      <c r="N182" s="186">
        <f>Forecast_Model!Y37</f>
        <v>-8.0062075008705269E-2</v>
      </c>
      <c r="O182" s="186">
        <f>Forecast_Model!Z37</f>
        <v>-6.996034035097011E-2</v>
      </c>
      <c r="P182" s="186">
        <f>Forecast_Model!AA37</f>
        <v>-6.0116576868801508E-2</v>
      </c>
      <c r="Q182" s="187">
        <f>Forecast_Model!AB37</f>
        <v>-5.0522176455573387E-2</v>
      </c>
    </row>
    <row r="183" spans="3:17" x14ac:dyDescent="0.3"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</row>
    <row r="184" spans="3:17" x14ac:dyDescent="0.3">
      <c r="C184" s="148" t="s">
        <v>77</v>
      </c>
      <c r="D184" s="148" t="s">
        <v>78</v>
      </c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</row>
    <row r="185" spans="3:17" x14ac:dyDescent="0.3">
      <c r="C185" s="149" t="s">
        <v>79</v>
      </c>
      <c r="D185" s="149">
        <f>C$147</f>
        <v>2026</v>
      </c>
      <c r="E185" s="149"/>
      <c r="F185" s="189">
        <f>IFERROR(F181/F136,NA())</f>
        <v>0.11288032454361055</v>
      </c>
      <c r="G185" s="184">
        <f t="shared" ref="G185:Q185" si="16">IFERROR(G181/G$136,NA())</f>
        <v>0.12861516618168767</v>
      </c>
      <c r="H185" s="184">
        <f t="shared" si="16"/>
        <v>0.10795485948397165</v>
      </c>
      <c r="I185" s="210" t="e">
        <f t="shared" si="16"/>
        <v>#N/A</v>
      </c>
      <c r="J185" s="210" t="e">
        <f t="shared" si="16"/>
        <v>#N/A</v>
      </c>
      <c r="K185" s="210" t="e">
        <f t="shared" si="16"/>
        <v>#N/A</v>
      </c>
      <c r="L185" s="210" t="e">
        <f t="shared" si="16"/>
        <v>#N/A</v>
      </c>
      <c r="M185" s="210" t="e">
        <f t="shared" si="16"/>
        <v>#N/A</v>
      </c>
      <c r="N185" s="210" t="e">
        <f t="shared" si="16"/>
        <v>#N/A</v>
      </c>
      <c r="O185" s="210" t="e">
        <f t="shared" si="16"/>
        <v>#N/A</v>
      </c>
      <c r="P185" s="210" t="e">
        <f t="shared" si="16"/>
        <v>#N/A</v>
      </c>
      <c r="Q185" s="211" t="e">
        <f t="shared" si="16"/>
        <v>#N/A</v>
      </c>
    </row>
    <row r="186" spans="3:17" x14ac:dyDescent="0.3">
      <c r="C186" s="149" t="s">
        <v>79</v>
      </c>
      <c r="D186" s="149">
        <f>C$148</f>
        <v>2027</v>
      </c>
      <c r="E186" s="149"/>
      <c r="F186" s="207" t="e">
        <f t="shared" ref="F186:Q186" si="17">IFERROR(F182/F$137,NA())</f>
        <v>#N/A</v>
      </c>
      <c r="G186" s="208" t="e">
        <f t="shared" si="17"/>
        <v>#N/A</v>
      </c>
      <c r="H186" s="208" t="e">
        <f t="shared" si="17"/>
        <v>#N/A</v>
      </c>
      <c r="I186" s="208" t="e">
        <f t="shared" si="17"/>
        <v>#N/A</v>
      </c>
      <c r="J186" s="208" t="e">
        <f t="shared" si="17"/>
        <v>#N/A</v>
      </c>
      <c r="K186" s="208" t="e">
        <f t="shared" si="17"/>
        <v>#N/A</v>
      </c>
      <c r="L186" s="208" t="e">
        <f t="shared" si="17"/>
        <v>#N/A</v>
      </c>
      <c r="M186" s="208" t="e">
        <f t="shared" si="17"/>
        <v>#N/A</v>
      </c>
      <c r="N186" s="208" t="e">
        <f t="shared" si="17"/>
        <v>#N/A</v>
      </c>
      <c r="O186" s="208" t="e">
        <f t="shared" si="17"/>
        <v>#N/A</v>
      </c>
      <c r="P186" s="208" t="e">
        <f t="shared" si="17"/>
        <v>#N/A</v>
      </c>
      <c r="Q186" s="209" t="e">
        <f t="shared" si="17"/>
        <v>#N/A</v>
      </c>
    </row>
    <row r="187" spans="3:17" x14ac:dyDescent="0.3">
      <c r="C187" s="149" t="s">
        <v>80</v>
      </c>
      <c r="D187" s="149">
        <f>C$147</f>
        <v>2026</v>
      </c>
      <c r="E187" s="149"/>
      <c r="F187" s="190">
        <f>F181</f>
        <v>0.11288032454361055</v>
      </c>
      <c r="G187" s="191">
        <f t="shared" ref="G187:Q187" si="18">G181</f>
        <v>0.12861516618168767</v>
      </c>
      <c r="H187" s="191">
        <f t="shared" si="18"/>
        <v>0.10795485948397165</v>
      </c>
      <c r="I187" s="191">
        <f t="shared" si="18"/>
        <v>0.10600231494837706</v>
      </c>
      <c r="J187" s="191">
        <f t="shared" si="18"/>
        <v>0.10241670158200503</v>
      </c>
      <c r="K187" s="191">
        <f t="shared" si="18"/>
        <v>-0.12987380383740058</v>
      </c>
      <c r="L187" s="191">
        <f t="shared" si="18"/>
        <v>-0.13420947048001133</v>
      </c>
      <c r="M187" s="191">
        <f t="shared" si="18"/>
        <v>-0.13856333417059583</v>
      </c>
      <c r="N187" s="191">
        <f t="shared" si="18"/>
        <v>-0.14293547616735053</v>
      </c>
      <c r="O187" s="191">
        <f t="shared" si="18"/>
        <v>-0.14732597810535472</v>
      </c>
      <c r="P187" s="191">
        <f t="shared" si="18"/>
        <v>-0.1517349219983567</v>
      </c>
      <c r="Q187" s="192">
        <f t="shared" si="18"/>
        <v>-0.15616239024056763</v>
      </c>
    </row>
    <row r="188" spans="3:17" x14ac:dyDescent="0.3">
      <c r="C188" s="149" t="s">
        <v>80</v>
      </c>
      <c r="D188" s="149">
        <f>C$148</f>
        <v>2027</v>
      </c>
      <c r="E188" s="149"/>
      <c r="F188" s="193">
        <f t="shared" ref="F188:Q188" si="19">F182</f>
        <v>-0.13785143687104526</v>
      </c>
      <c r="G188" s="186">
        <f t="shared" si="19"/>
        <v>-0.14222865810059726</v>
      </c>
      <c r="H188" s="186">
        <f t="shared" si="19"/>
        <v>-0.14662428504848291</v>
      </c>
      <c r="I188" s="186">
        <f t="shared" si="19"/>
        <v>-0.13477034616453926</v>
      </c>
      <c r="J188" s="186">
        <f t="shared" si="19"/>
        <v>-0.12323509525021063</v>
      </c>
      <c r="K188" s="186">
        <f t="shared" si="19"/>
        <v>-0.11200720677624733</v>
      </c>
      <c r="L188" s="186">
        <f t="shared" si="19"/>
        <v>-0.1010758742322605</v>
      </c>
      <c r="M188" s="186">
        <f t="shared" si="19"/>
        <v>-9.0430781318207587E-2</v>
      </c>
      <c r="N188" s="186">
        <f t="shared" si="19"/>
        <v>-8.0062075008705269E-2</v>
      </c>
      <c r="O188" s="186">
        <f t="shared" si="19"/>
        <v>-6.996034035097011E-2</v>
      </c>
      <c r="P188" s="186">
        <f t="shared" si="19"/>
        <v>-6.0116576868801508E-2</v>
      </c>
      <c r="Q188" s="187">
        <f t="shared" si="19"/>
        <v>-5.0522176455573387E-2</v>
      </c>
    </row>
    <row r="189" spans="3:17" x14ac:dyDescent="0.3"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</row>
    <row r="190" spans="3:17" x14ac:dyDescent="0.3"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</row>
    <row r="191" spans="3:17" x14ac:dyDescent="0.3"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</row>
    <row r="192" spans="3:17" ht="22.5" x14ac:dyDescent="0.4">
      <c r="C192" s="50" t="s">
        <v>89</v>
      </c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</row>
    <row r="193" spans="3:18" x14ac:dyDescent="0.3"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</row>
    <row r="194" spans="3:18" x14ac:dyDescent="0.3">
      <c r="C194" s="149"/>
      <c r="D194" s="149"/>
      <c r="E194" s="149"/>
      <c r="F194" s="172">
        <f>F$132</f>
        <v>1</v>
      </c>
      <c r="G194" s="173">
        <f t="shared" ref="G194:Q194" si="20">G$132</f>
        <v>1</v>
      </c>
      <c r="H194" s="174">
        <f t="shared" si="20"/>
        <v>1</v>
      </c>
      <c r="I194" s="173">
        <f t="shared" si="20"/>
        <v>2</v>
      </c>
      <c r="J194" s="173">
        <f t="shared" si="20"/>
        <v>2</v>
      </c>
      <c r="K194" s="174">
        <f t="shared" si="20"/>
        <v>2</v>
      </c>
      <c r="L194" s="173">
        <f t="shared" si="20"/>
        <v>3</v>
      </c>
      <c r="M194" s="173">
        <f t="shared" si="20"/>
        <v>3</v>
      </c>
      <c r="N194" s="174">
        <f t="shared" si="20"/>
        <v>3</v>
      </c>
      <c r="O194" s="173">
        <f t="shared" si="20"/>
        <v>4</v>
      </c>
      <c r="P194" s="173">
        <f t="shared" si="20"/>
        <v>4</v>
      </c>
      <c r="Q194" s="175">
        <f t="shared" si="20"/>
        <v>4</v>
      </c>
    </row>
    <row r="195" spans="3:18" ht="17.25" thickBot="1" x14ac:dyDescent="0.35">
      <c r="C195" s="149"/>
      <c r="D195" s="149"/>
      <c r="E195" s="149"/>
      <c r="F195" s="151">
        <f>F$133</f>
        <v>46053</v>
      </c>
      <c r="G195" s="152">
        <f t="shared" ref="G195:Q195" si="21">G$133</f>
        <v>46081</v>
      </c>
      <c r="H195" s="153">
        <f t="shared" si="21"/>
        <v>46112</v>
      </c>
      <c r="I195" s="152">
        <f t="shared" si="21"/>
        <v>46142</v>
      </c>
      <c r="J195" s="152">
        <f t="shared" si="21"/>
        <v>46173</v>
      </c>
      <c r="K195" s="153">
        <f t="shared" si="21"/>
        <v>46203</v>
      </c>
      <c r="L195" s="152">
        <f t="shared" si="21"/>
        <v>46234</v>
      </c>
      <c r="M195" s="152">
        <f t="shared" si="21"/>
        <v>46265</v>
      </c>
      <c r="N195" s="153">
        <f t="shared" si="21"/>
        <v>46295</v>
      </c>
      <c r="O195" s="152">
        <f t="shared" si="21"/>
        <v>46326</v>
      </c>
      <c r="P195" s="152">
        <f t="shared" si="21"/>
        <v>46356</v>
      </c>
      <c r="Q195" s="154">
        <f t="shared" si="21"/>
        <v>46387</v>
      </c>
    </row>
    <row r="196" spans="3:18" x14ac:dyDescent="0.3"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</row>
    <row r="197" spans="3:18" x14ac:dyDescent="0.3">
      <c r="C197" s="148" t="s">
        <v>111</v>
      </c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</row>
    <row r="198" spans="3:18" x14ac:dyDescent="0.3">
      <c r="C198" s="149">
        <f>C$136</f>
        <v>2026</v>
      </c>
      <c r="D198" s="149"/>
      <c r="E198" s="149"/>
      <c r="F198" s="194">
        <f>Forecast_Model!E19</f>
        <v>19720</v>
      </c>
      <c r="G198" s="195">
        <f>Forecast_Model!F19</f>
        <v>21230</v>
      </c>
      <c r="H198" s="195">
        <f>Forecast_Model!G19</f>
        <v>19880</v>
      </c>
      <c r="I198" s="195">
        <f>Forecast_Model!H19</f>
        <v>20000</v>
      </c>
      <c r="J198" s="195">
        <f>Forecast_Model!I19</f>
        <v>20000</v>
      </c>
      <c r="K198" s="195">
        <f>Forecast_Model!J19</f>
        <v>14000</v>
      </c>
      <c r="L198" s="195">
        <f>Forecast_Model!K19</f>
        <v>14000</v>
      </c>
      <c r="M198" s="195">
        <f>Forecast_Model!L19</f>
        <v>14000</v>
      </c>
      <c r="N198" s="195">
        <f>Forecast_Model!M19</f>
        <v>14000</v>
      </c>
      <c r="O198" s="195">
        <f>Forecast_Model!N19</f>
        <v>14000</v>
      </c>
      <c r="P198" s="195">
        <f>Forecast_Model!O19</f>
        <v>14000</v>
      </c>
      <c r="Q198" s="196">
        <f>Forecast_Model!P19</f>
        <v>14000</v>
      </c>
    </row>
    <row r="199" spans="3:18" x14ac:dyDescent="0.3">
      <c r="C199" s="149">
        <f>C$137</f>
        <v>2027</v>
      </c>
      <c r="D199" s="149"/>
      <c r="E199" s="149"/>
      <c r="F199" s="198">
        <f>Forecast_Model!Q19</f>
        <v>14000</v>
      </c>
      <c r="G199" s="197">
        <f>Forecast_Model!R19</f>
        <v>14000</v>
      </c>
      <c r="H199" s="197">
        <f>Forecast_Model!S19</f>
        <v>14000</v>
      </c>
      <c r="I199" s="197">
        <f>Forecast_Model!T19</f>
        <v>14120</v>
      </c>
      <c r="J199" s="197">
        <f>Forecast_Model!U19</f>
        <v>14240</v>
      </c>
      <c r="K199" s="197">
        <f>Forecast_Model!V19</f>
        <v>14360</v>
      </c>
      <c r="L199" s="197">
        <f>Forecast_Model!W19</f>
        <v>14480</v>
      </c>
      <c r="M199" s="197">
        <f>Forecast_Model!X19</f>
        <v>14600</v>
      </c>
      <c r="N199" s="197">
        <f>Forecast_Model!Y19</f>
        <v>14720</v>
      </c>
      <c r="O199" s="197">
        <f>Forecast_Model!Z19</f>
        <v>14840</v>
      </c>
      <c r="P199" s="197">
        <f>Forecast_Model!AA19</f>
        <v>14960</v>
      </c>
      <c r="Q199" s="197">
        <f>Forecast_Model!AB19</f>
        <v>15080</v>
      </c>
      <c r="R199" s="199"/>
    </row>
    <row r="200" spans="3:18" x14ac:dyDescent="0.3"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</row>
    <row r="201" spans="3:18" x14ac:dyDescent="0.3">
      <c r="C201" s="148" t="s">
        <v>77</v>
      </c>
      <c r="D201" s="148" t="s">
        <v>78</v>
      </c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</row>
    <row r="202" spans="3:18" x14ac:dyDescent="0.3">
      <c r="C202" s="149" t="s">
        <v>79</v>
      </c>
      <c r="D202" s="149">
        <f>C$147</f>
        <v>2026</v>
      </c>
      <c r="E202" s="149"/>
      <c r="F202" s="194">
        <f>IFERROR(F198/F$136,NA())</f>
        <v>19720</v>
      </c>
      <c r="G202" s="195">
        <f>IFERROR(G198/G$136,NA())</f>
        <v>21230</v>
      </c>
      <c r="H202" s="195">
        <f>IFERROR(H198/H$136,NA())</f>
        <v>19880</v>
      </c>
      <c r="I202" s="195" t="e">
        <f>IFERROR(I198/I$136,NA())</f>
        <v>#N/A</v>
      </c>
      <c r="J202" s="195" t="e">
        <f t="shared" ref="J202:Q202" si="22">IFERROR(J198/J$136,NA())</f>
        <v>#N/A</v>
      </c>
      <c r="K202" s="195" t="e">
        <f t="shared" si="22"/>
        <v>#N/A</v>
      </c>
      <c r="L202" s="195" t="e">
        <f t="shared" si="22"/>
        <v>#N/A</v>
      </c>
      <c r="M202" s="195" t="e">
        <f t="shared" si="22"/>
        <v>#N/A</v>
      </c>
      <c r="N202" s="195" t="e">
        <f t="shared" si="22"/>
        <v>#N/A</v>
      </c>
      <c r="O202" s="195" t="e">
        <f t="shared" si="22"/>
        <v>#N/A</v>
      </c>
      <c r="P202" s="195" t="e">
        <f t="shared" si="22"/>
        <v>#N/A</v>
      </c>
      <c r="Q202" s="196" t="e">
        <f t="shared" si="22"/>
        <v>#N/A</v>
      </c>
    </row>
    <row r="203" spans="3:18" x14ac:dyDescent="0.3">
      <c r="C203" s="149" t="s">
        <v>79</v>
      </c>
      <c r="D203" s="149">
        <f>C$148</f>
        <v>2027</v>
      </c>
      <c r="E203" s="149"/>
      <c r="F203" s="200" t="e">
        <f t="shared" ref="F203:Q203" si="23">IFERROR(F199/F$137,NA())</f>
        <v>#N/A</v>
      </c>
      <c r="G203" s="201" t="e">
        <f t="shared" si="23"/>
        <v>#N/A</v>
      </c>
      <c r="H203" s="201" t="e">
        <f t="shared" si="23"/>
        <v>#N/A</v>
      </c>
      <c r="I203" s="201" t="e">
        <f t="shared" si="23"/>
        <v>#N/A</v>
      </c>
      <c r="J203" s="201" t="e">
        <f t="shared" si="23"/>
        <v>#N/A</v>
      </c>
      <c r="K203" s="201" t="e">
        <f t="shared" si="23"/>
        <v>#N/A</v>
      </c>
      <c r="L203" s="201" t="e">
        <f t="shared" si="23"/>
        <v>#N/A</v>
      </c>
      <c r="M203" s="201" t="e">
        <f t="shared" si="23"/>
        <v>#N/A</v>
      </c>
      <c r="N203" s="201" t="e">
        <f t="shared" si="23"/>
        <v>#N/A</v>
      </c>
      <c r="O203" s="201" t="e">
        <f t="shared" si="23"/>
        <v>#N/A</v>
      </c>
      <c r="P203" s="201" t="e">
        <f t="shared" si="23"/>
        <v>#N/A</v>
      </c>
      <c r="Q203" s="202" t="e">
        <f t="shared" si="23"/>
        <v>#N/A</v>
      </c>
    </row>
    <row r="204" spans="3:18" x14ac:dyDescent="0.3">
      <c r="C204" s="149" t="s">
        <v>80</v>
      </c>
      <c r="D204" s="149">
        <f>C$147</f>
        <v>2026</v>
      </c>
      <c r="E204" s="149"/>
      <c r="F204" s="200">
        <f>F198</f>
        <v>19720</v>
      </c>
      <c r="G204" s="201">
        <f t="shared" ref="G204:Q204" si="24">G198</f>
        <v>21230</v>
      </c>
      <c r="H204" s="201">
        <f t="shared" si="24"/>
        <v>19880</v>
      </c>
      <c r="I204" s="201">
        <f t="shared" si="24"/>
        <v>20000</v>
      </c>
      <c r="J204" s="201">
        <f t="shared" si="24"/>
        <v>20000</v>
      </c>
      <c r="K204" s="201">
        <f t="shared" si="24"/>
        <v>14000</v>
      </c>
      <c r="L204" s="201">
        <f t="shared" si="24"/>
        <v>14000</v>
      </c>
      <c r="M204" s="201">
        <f t="shared" si="24"/>
        <v>14000</v>
      </c>
      <c r="N204" s="201">
        <f t="shared" si="24"/>
        <v>14000</v>
      </c>
      <c r="O204" s="201">
        <f t="shared" si="24"/>
        <v>14000</v>
      </c>
      <c r="P204" s="201">
        <f t="shared" si="24"/>
        <v>14000</v>
      </c>
      <c r="Q204" s="202">
        <f t="shared" si="24"/>
        <v>14000</v>
      </c>
    </row>
    <row r="205" spans="3:18" x14ac:dyDescent="0.3">
      <c r="C205" s="149" t="s">
        <v>80</v>
      </c>
      <c r="D205" s="149">
        <f>C$148</f>
        <v>2027</v>
      </c>
      <c r="E205" s="149"/>
      <c r="F205" s="198">
        <f t="shared" ref="F205:Q205" si="25">F199</f>
        <v>14000</v>
      </c>
      <c r="G205" s="197">
        <f t="shared" si="25"/>
        <v>14000</v>
      </c>
      <c r="H205" s="197">
        <f t="shared" si="25"/>
        <v>14000</v>
      </c>
      <c r="I205" s="197">
        <f t="shared" si="25"/>
        <v>14120</v>
      </c>
      <c r="J205" s="197">
        <f t="shared" si="25"/>
        <v>14240</v>
      </c>
      <c r="K205" s="197">
        <f t="shared" si="25"/>
        <v>14360</v>
      </c>
      <c r="L205" s="197">
        <f t="shared" si="25"/>
        <v>14480</v>
      </c>
      <c r="M205" s="197">
        <f t="shared" si="25"/>
        <v>14600</v>
      </c>
      <c r="N205" s="197">
        <f t="shared" si="25"/>
        <v>14720</v>
      </c>
      <c r="O205" s="197">
        <f t="shared" si="25"/>
        <v>14840</v>
      </c>
      <c r="P205" s="197">
        <f t="shared" si="25"/>
        <v>14960</v>
      </c>
      <c r="Q205" s="203">
        <f t="shared" si="25"/>
        <v>15080</v>
      </c>
    </row>
    <row r="206" spans="3:18" x14ac:dyDescent="0.3"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</row>
    <row r="207" spans="3:18" x14ac:dyDescent="0.3"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</row>
    <row r="208" spans="3:18" x14ac:dyDescent="0.3"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</row>
    <row r="209" spans="3:17" ht="22.5" x14ac:dyDescent="0.4">
      <c r="C209" s="50" t="s">
        <v>121</v>
      </c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</row>
    <row r="210" spans="3:17" x14ac:dyDescent="0.3"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</row>
    <row r="211" spans="3:17" x14ac:dyDescent="0.3">
      <c r="C211" s="149"/>
      <c r="D211" s="149"/>
      <c r="E211" s="149"/>
      <c r="F211" s="172">
        <f>F$132</f>
        <v>1</v>
      </c>
      <c r="G211" s="173">
        <f t="shared" ref="G211:Q211" si="26">G$132</f>
        <v>1</v>
      </c>
      <c r="H211" s="174">
        <f t="shared" si="26"/>
        <v>1</v>
      </c>
      <c r="I211" s="173">
        <f t="shared" si="26"/>
        <v>2</v>
      </c>
      <c r="J211" s="173">
        <f t="shared" si="26"/>
        <v>2</v>
      </c>
      <c r="K211" s="174">
        <f t="shared" si="26"/>
        <v>2</v>
      </c>
      <c r="L211" s="173">
        <f t="shared" si="26"/>
        <v>3</v>
      </c>
      <c r="M211" s="173">
        <f t="shared" si="26"/>
        <v>3</v>
      </c>
      <c r="N211" s="174">
        <f t="shared" si="26"/>
        <v>3</v>
      </c>
      <c r="O211" s="173">
        <f t="shared" si="26"/>
        <v>4</v>
      </c>
      <c r="P211" s="173">
        <f t="shared" si="26"/>
        <v>4</v>
      </c>
      <c r="Q211" s="175">
        <f t="shared" si="26"/>
        <v>4</v>
      </c>
    </row>
    <row r="212" spans="3:17" ht="17.25" thickBot="1" x14ac:dyDescent="0.35">
      <c r="C212" s="149"/>
      <c r="D212" s="149"/>
      <c r="E212" s="149"/>
      <c r="F212" s="151">
        <f>F$133</f>
        <v>46053</v>
      </c>
      <c r="G212" s="152">
        <f t="shared" ref="G212:Q212" si="27">G$133</f>
        <v>46081</v>
      </c>
      <c r="H212" s="153">
        <f t="shared" si="27"/>
        <v>46112</v>
      </c>
      <c r="I212" s="152">
        <f t="shared" si="27"/>
        <v>46142</v>
      </c>
      <c r="J212" s="152">
        <f t="shared" si="27"/>
        <v>46173</v>
      </c>
      <c r="K212" s="153">
        <f t="shared" si="27"/>
        <v>46203</v>
      </c>
      <c r="L212" s="152">
        <f t="shared" si="27"/>
        <v>46234</v>
      </c>
      <c r="M212" s="152">
        <f t="shared" si="27"/>
        <v>46265</v>
      </c>
      <c r="N212" s="153">
        <f t="shared" si="27"/>
        <v>46295</v>
      </c>
      <c r="O212" s="152">
        <f t="shared" si="27"/>
        <v>46326</v>
      </c>
      <c r="P212" s="152">
        <f t="shared" si="27"/>
        <v>46356</v>
      </c>
      <c r="Q212" s="154">
        <f t="shared" si="27"/>
        <v>46387</v>
      </c>
    </row>
    <row r="213" spans="3:17" x14ac:dyDescent="0.3"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</row>
    <row r="214" spans="3:17" x14ac:dyDescent="0.3">
      <c r="C214" s="148" t="s">
        <v>122</v>
      </c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</row>
    <row r="215" spans="3:17" x14ac:dyDescent="0.3">
      <c r="C215" s="149">
        <f>C$136</f>
        <v>2026</v>
      </c>
      <c r="D215" s="149"/>
      <c r="E215" s="149"/>
      <c r="F215" s="194">
        <f>Forecast_Model!E23</f>
        <v>30000</v>
      </c>
      <c r="G215" s="195">
        <f>Forecast_Model!F23</f>
        <v>30000</v>
      </c>
      <c r="H215" s="195">
        <f>Forecast_Model!G23</f>
        <v>30000</v>
      </c>
      <c r="I215" s="195">
        <f>Forecast_Model!H23</f>
        <v>30000</v>
      </c>
      <c r="J215" s="195">
        <f>Forecast_Model!I23</f>
        <v>30000</v>
      </c>
      <c r="K215" s="195">
        <f>Forecast_Model!J23</f>
        <v>27000</v>
      </c>
      <c r="L215" s="195">
        <f>Forecast_Model!K23</f>
        <v>27000</v>
      </c>
      <c r="M215" s="195">
        <f>Forecast_Model!L23</f>
        <v>27000</v>
      </c>
      <c r="N215" s="195">
        <f>Forecast_Model!M23</f>
        <v>27000</v>
      </c>
      <c r="O215" s="195">
        <f>Forecast_Model!N23</f>
        <v>27000</v>
      </c>
      <c r="P215" s="195">
        <f>Forecast_Model!O23</f>
        <v>27000</v>
      </c>
      <c r="Q215" s="196">
        <f>Forecast_Model!P23</f>
        <v>27000</v>
      </c>
    </row>
    <row r="216" spans="3:17" x14ac:dyDescent="0.3">
      <c r="C216" s="149">
        <f>C$137</f>
        <v>2027</v>
      </c>
      <c r="D216" s="149"/>
      <c r="E216" s="149"/>
      <c r="F216" s="198">
        <f>Forecast_Model!Q23</f>
        <v>27540</v>
      </c>
      <c r="G216" s="197">
        <f>Forecast_Model!R23</f>
        <v>27540</v>
      </c>
      <c r="H216" s="197">
        <f>Forecast_Model!S23</f>
        <v>27540</v>
      </c>
      <c r="I216" s="197">
        <f>Forecast_Model!T23</f>
        <v>27846</v>
      </c>
      <c r="J216" s="197">
        <f>Forecast_Model!U23</f>
        <v>28151.999999999996</v>
      </c>
      <c r="K216" s="197">
        <f>Forecast_Model!V23</f>
        <v>28457.999999999996</v>
      </c>
      <c r="L216" s="197">
        <f>Forecast_Model!W23</f>
        <v>28764</v>
      </c>
      <c r="M216" s="197">
        <f>Forecast_Model!X23</f>
        <v>29070</v>
      </c>
      <c r="N216" s="197">
        <f>Forecast_Model!Y23</f>
        <v>29376</v>
      </c>
      <c r="O216" s="197">
        <f>Forecast_Model!Z23</f>
        <v>29682</v>
      </c>
      <c r="P216" s="197">
        <f>Forecast_Model!AA23</f>
        <v>29988</v>
      </c>
      <c r="Q216" s="197">
        <f>Forecast_Model!AB23</f>
        <v>30294</v>
      </c>
    </row>
    <row r="217" spans="3:17" x14ac:dyDescent="0.3"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</row>
    <row r="218" spans="3:17" x14ac:dyDescent="0.3">
      <c r="C218" s="148" t="s">
        <v>77</v>
      </c>
      <c r="D218" s="148" t="s">
        <v>78</v>
      </c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</row>
    <row r="219" spans="3:17" x14ac:dyDescent="0.3">
      <c r="C219" s="149" t="s">
        <v>79</v>
      </c>
      <c r="D219" s="149">
        <f>C$147</f>
        <v>2026</v>
      </c>
      <c r="E219" s="149"/>
      <c r="F219" s="194">
        <f>IFERROR(F215/F$136,NA())</f>
        <v>30000</v>
      </c>
      <c r="G219" s="195">
        <f>IFERROR(G215/G$136,NA())</f>
        <v>30000</v>
      </c>
      <c r="H219" s="195">
        <f>IFERROR(H215/H$136,NA())</f>
        <v>30000</v>
      </c>
      <c r="I219" s="195" t="e">
        <f>IFERROR(I215/I$136,NA())</f>
        <v>#N/A</v>
      </c>
      <c r="J219" s="195" t="e">
        <f t="shared" ref="J219:Q219" si="28">IFERROR(J215/J$136,NA())</f>
        <v>#N/A</v>
      </c>
      <c r="K219" s="195" t="e">
        <f t="shared" si="28"/>
        <v>#N/A</v>
      </c>
      <c r="L219" s="195" t="e">
        <f t="shared" si="28"/>
        <v>#N/A</v>
      </c>
      <c r="M219" s="195" t="e">
        <f t="shared" si="28"/>
        <v>#N/A</v>
      </c>
      <c r="N219" s="195" t="e">
        <f t="shared" si="28"/>
        <v>#N/A</v>
      </c>
      <c r="O219" s="195" t="e">
        <f t="shared" si="28"/>
        <v>#N/A</v>
      </c>
      <c r="P219" s="195" t="e">
        <f t="shared" si="28"/>
        <v>#N/A</v>
      </c>
      <c r="Q219" s="196" t="e">
        <f t="shared" si="28"/>
        <v>#N/A</v>
      </c>
    </row>
    <row r="220" spans="3:17" x14ac:dyDescent="0.3">
      <c r="C220" s="149" t="s">
        <v>79</v>
      </c>
      <c r="D220" s="149">
        <f>C$148</f>
        <v>2027</v>
      </c>
      <c r="E220" s="149"/>
      <c r="F220" s="200" t="e">
        <f t="shared" ref="F220:Q220" si="29">IFERROR(F216/F$137,NA())</f>
        <v>#N/A</v>
      </c>
      <c r="G220" s="201" t="e">
        <f t="shared" si="29"/>
        <v>#N/A</v>
      </c>
      <c r="H220" s="201" t="e">
        <f t="shared" si="29"/>
        <v>#N/A</v>
      </c>
      <c r="I220" s="201" t="e">
        <f t="shared" si="29"/>
        <v>#N/A</v>
      </c>
      <c r="J220" s="201" t="e">
        <f t="shared" si="29"/>
        <v>#N/A</v>
      </c>
      <c r="K220" s="201" t="e">
        <f t="shared" si="29"/>
        <v>#N/A</v>
      </c>
      <c r="L220" s="201" t="e">
        <f t="shared" si="29"/>
        <v>#N/A</v>
      </c>
      <c r="M220" s="201" t="e">
        <f t="shared" si="29"/>
        <v>#N/A</v>
      </c>
      <c r="N220" s="201" t="e">
        <f t="shared" si="29"/>
        <v>#N/A</v>
      </c>
      <c r="O220" s="201" t="e">
        <f t="shared" si="29"/>
        <v>#N/A</v>
      </c>
      <c r="P220" s="201" t="e">
        <f t="shared" si="29"/>
        <v>#N/A</v>
      </c>
      <c r="Q220" s="202" t="e">
        <f t="shared" si="29"/>
        <v>#N/A</v>
      </c>
    </row>
    <row r="221" spans="3:17" x14ac:dyDescent="0.3">
      <c r="C221" s="149" t="s">
        <v>80</v>
      </c>
      <c r="D221" s="149">
        <f>C$147</f>
        <v>2026</v>
      </c>
      <c r="E221" s="149"/>
      <c r="F221" s="200">
        <f>F215</f>
        <v>30000</v>
      </c>
      <c r="G221" s="201">
        <f t="shared" ref="G221:Q221" si="30">G215</f>
        <v>30000</v>
      </c>
      <c r="H221" s="201">
        <f t="shared" si="30"/>
        <v>30000</v>
      </c>
      <c r="I221" s="201">
        <f t="shared" si="30"/>
        <v>30000</v>
      </c>
      <c r="J221" s="201">
        <f t="shared" si="30"/>
        <v>30000</v>
      </c>
      <c r="K221" s="201">
        <f t="shared" si="30"/>
        <v>27000</v>
      </c>
      <c r="L221" s="201">
        <f t="shared" si="30"/>
        <v>27000</v>
      </c>
      <c r="M221" s="201">
        <f t="shared" si="30"/>
        <v>27000</v>
      </c>
      <c r="N221" s="201">
        <f t="shared" si="30"/>
        <v>27000</v>
      </c>
      <c r="O221" s="201">
        <f t="shared" si="30"/>
        <v>27000</v>
      </c>
      <c r="P221" s="201">
        <f t="shared" si="30"/>
        <v>27000</v>
      </c>
      <c r="Q221" s="202">
        <f t="shared" si="30"/>
        <v>27000</v>
      </c>
    </row>
    <row r="222" spans="3:17" x14ac:dyDescent="0.3">
      <c r="C222" s="149" t="s">
        <v>80</v>
      </c>
      <c r="D222" s="149">
        <f>C$148</f>
        <v>2027</v>
      </c>
      <c r="E222" s="149"/>
      <c r="F222" s="198">
        <f t="shared" ref="F222:Q222" si="31">F216</f>
        <v>27540</v>
      </c>
      <c r="G222" s="197">
        <f t="shared" si="31"/>
        <v>27540</v>
      </c>
      <c r="H222" s="197">
        <f t="shared" si="31"/>
        <v>27540</v>
      </c>
      <c r="I222" s="197">
        <f t="shared" si="31"/>
        <v>27846</v>
      </c>
      <c r="J222" s="197">
        <f t="shared" si="31"/>
        <v>28151.999999999996</v>
      </c>
      <c r="K222" s="197">
        <f t="shared" si="31"/>
        <v>28457.999999999996</v>
      </c>
      <c r="L222" s="197">
        <f t="shared" si="31"/>
        <v>28764</v>
      </c>
      <c r="M222" s="197">
        <f t="shared" si="31"/>
        <v>29070</v>
      </c>
      <c r="N222" s="197">
        <f t="shared" si="31"/>
        <v>29376</v>
      </c>
      <c r="O222" s="197">
        <f t="shared" si="31"/>
        <v>29682</v>
      </c>
      <c r="P222" s="197">
        <f t="shared" si="31"/>
        <v>29988</v>
      </c>
      <c r="Q222" s="203">
        <f t="shared" si="31"/>
        <v>30294</v>
      </c>
    </row>
    <row r="223" spans="3:17" x14ac:dyDescent="0.3"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</row>
    <row r="224" spans="3:17" x14ac:dyDescent="0.3"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</row>
    <row r="225" spans="3:17" x14ac:dyDescent="0.3"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</row>
    <row r="226" spans="3:17" ht="22.5" x14ac:dyDescent="0.4">
      <c r="C226" s="50" t="s">
        <v>98</v>
      </c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</row>
    <row r="227" spans="3:17" x14ac:dyDescent="0.3"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</row>
    <row r="228" spans="3:17" ht="18.75" thickBot="1" x14ac:dyDescent="0.4">
      <c r="C228" s="204" t="s">
        <v>94</v>
      </c>
      <c r="D228" s="205"/>
      <c r="E228" s="205"/>
      <c r="F228" s="244" t="s">
        <v>95</v>
      </c>
      <c r="G228" s="245" t="s">
        <v>96</v>
      </c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</row>
    <row r="229" spans="3:17" ht="4.5" customHeight="1" x14ac:dyDescent="0.35">
      <c r="C229" s="204"/>
      <c r="D229" s="205"/>
      <c r="E229" s="205"/>
      <c r="F229" s="204"/>
      <c r="G229" s="206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</row>
    <row r="230" spans="3:17" x14ac:dyDescent="0.3">
      <c r="C230" s="149" t="s">
        <v>8</v>
      </c>
      <c r="D230" s="149"/>
      <c r="E230" s="149"/>
      <c r="F230" s="222">
        <v>7224900000</v>
      </c>
      <c r="G230" s="159">
        <v>7344000000</v>
      </c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</row>
    <row r="231" spans="3:17" x14ac:dyDescent="0.3">
      <c r="C231" s="149" t="s">
        <v>50</v>
      </c>
      <c r="D231" s="149"/>
      <c r="E231" s="149"/>
      <c r="F231" s="167">
        <v>6531900000</v>
      </c>
      <c r="G231" s="223">
        <v>6666516000</v>
      </c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</row>
    <row r="232" spans="3:17" x14ac:dyDescent="0.3">
      <c r="C232" s="149" t="s">
        <v>51</v>
      </c>
      <c r="D232" s="149"/>
      <c r="E232" s="149"/>
      <c r="F232" s="160">
        <v>5670900000</v>
      </c>
      <c r="G232" s="162">
        <v>4978681200</v>
      </c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</row>
    <row r="233" spans="3:17" x14ac:dyDescent="0.3"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</row>
    <row r="234" spans="3:17" x14ac:dyDescent="0.3"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</row>
    <row r="235" spans="3:17" x14ac:dyDescent="0.3"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</row>
    <row r="236" spans="3:17" ht="22.5" x14ac:dyDescent="0.4">
      <c r="C236" s="50" t="s">
        <v>100</v>
      </c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</row>
    <row r="237" spans="3:17" x14ac:dyDescent="0.3"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</row>
    <row r="238" spans="3:17" ht="33.75" thickBot="1" x14ac:dyDescent="0.35">
      <c r="C238" s="148" t="s">
        <v>94</v>
      </c>
      <c r="D238" s="149"/>
      <c r="E238" s="149"/>
      <c r="F238" s="246" t="s">
        <v>102</v>
      </c>
      <c r="G238" s="247" t="s">
        <v>103</v>
      </c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</row>
    <row r="239" spans="3:17" x14ac:dyDescent="0.3">
      <c r="C239" s="148"/>
      <c r="D239" s="149"/>
      <c r="E239" s="149"/>
      <c r="F239" s="148"/>
      <c r="G239" s="224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</row>
    <row r="240" spans="3:17" x14ac:dyDescent="0.3">
      <c r="C240" s="148" t="s">
        <v>8</v>
      </c>
      <c r="D240" s="149"/>
      <c r="E240" s="149"/>
      <c r="F240" s="157">
        <v>707254354.74000001</v>
      </c>
      <c r="G240" s="159">
        <v>521014336.87</v>
      </c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</row>
    <row r="241" spans="3:17" x14ac:dyDescent="0.3">
      <c r="C241" s="148" t="s">
        <v>50</v>
      </c>
      <c r="D241" s="149"/>
      <c r="E241" s="149"/>
      <c r="F241" s="167">
        <v>360731121.06999999</v>
      </c>
      <c r="G241" s="223">
        <v>250408682.16999999</v>
      </c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</row>
    <row r="242" spans="3:17" x14ac:dyDescent="0.3">
      <c r="C242" s="148" t="s">
        <v>51</v>
      </c>
      <c r="D242" s="149"/>
      <c r="E242" s="149"/>
      <c r="F242" s="160">
        <v>-40173744.289999999</v>
      </c>
      <c r="G242" s="162">
        <v>-508650595.06</v>
      </c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</row>
    <row r="243" spans="3:17" x14ac:dyDescent="0.3"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</row>
    <row r="244" spans="3:17" x14ac:dyDescent="0.3"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</row>
    <row r="245" spans="3:17" x14ac:dyDescent="0.3"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</row>
    <row r="246" spans="3:17" ht="22.5" x14ac:dyDescent="0.4">
      <c r="C246" s="50" t="s">
        <v>104</v>
      </c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</row>
    <row r="247" spans="3:17" x14ac:dyDescent="0.3"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</row>
    <row r="248" spans="3:17" x14ac:dyDescent="0.3"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</row>
    <row r="249" spans="3:17" x14ac:dyDescent="0.3">
      <c r="C249" s="226" t="s">
        <v>105</v>
      </c>
      <c r="D249" s="225"/>
      <c r="E249" s="225"/>
      <c r="F249" s="227">
        <f>Forecast_Model!E83</f>
        <v>14568900000</v>
      </c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</row>
    <row r="250" spans="3:17" x14ac:dyDescent="0.3">
      <c r="C250" s="233" t="s">
        <v>44</v>
      </c>
      <c r="D250" s="225"/>
      <c r="E250" s="225"/>
      <c r="F250" s="228">
        <f>Forecast_Model!G86</f>
        <v>-3290523760.9966102</v>
      </c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</row>
    <row r="251" spans="3:17" x14ac:dyDescent="0.3">
      <c r="C251" s="233" t="s">
        <v>45</v>
      </c>
      <c r="D251" s="225"/>
      <c r="E251" s="225"/>
      <c r="F251" s="228">
        <f>Forecast_Model!G87</f>
        <v>-628795039.00339055</v>
      </c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</row>
    <row r="252" spans="3:17" x14ac:dyDescent="0.3">
      <c r="C252" s="226" t="s">
        <v>106</v>
      </c>
      <c r="D252" s="225"/>
      <c r="E252" s="225"/>
      <c r="F252" s="229">
        <f>SUM(F249:F251)</f>
        <v>10649581199.999998</v>
      </c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</row>
    <row r="253" spans="3:17" x14ac:dyDescent="0.3"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</row>
    <row r="254" spans="3:17" x14ac:dyDescent="0.3"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</row>
    <row r="255" spans="3:17" x14ac:dyDescent="0.3"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</row>
    <row r="256" spans="3:17" ht="22.5" x14ac:dyDescent="0.4">
      <c r="C256" s="50" t="s">
        <v>107</v>
      </c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</row>
    <row r="257" spans="3:17" x14ac:dyDescent="0.3"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</row>
    <row r="258" spans="3:17" x14ac:dyDescent="0.3"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</row>
    <row r="259" spans="3:17" x14ac:dyDescent="0.3">
      <c r="C259" s="148" t="s">
        <v>108</v>
      </c>
      <c r="D259" s="149"/>
      <c r="E259" s="149"/>
      <c r="F259" s="230">
        <f>Forecast_Model!E93</f>
        <v>1228268691.6099999</v>
      </c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</row>
    <row r="260" spans="3:17" x14ac:dyDescent="0.3">
      <c r="C260" s="234" t="s">
        <v>44</v>
      </c>
      <c r="D260" s="149"/>
      <c r="E260" s="149"/>
      <c r="F260" s="231">
        <f>Forecast_Model!G96</f>
        <v>-1169765550.6162841</v>
      </c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</row>
    <row r="261" spans="3:17" x14ac:dyDescent="0.3">
      <c r="C261" s="234" t="s">
        <v>45</v>
      </c>
      <c r="D261" s="149"/>
      <c r="E261" s="149"/>
      <c r="F261" s="231">
        <f>Forecast_Model!G97</f>
        <v>-628795039.00339055</v>
      </c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</row>
    <row r="262" spans="3:17" x14ac:dyDescent="0.3">
      <c r="C262" s="234" t="s">
        <v>67</v>
      </c>
      <c r="D262" s="149"/>
      <c r="E262" s="149"/>
      <c r="F262" s="231">
        <f>Forecast_Model!G98</f>
        <v>21467558.659674428</v>
      </c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</row>
    <row r="263" spans="3:17" x14ac:dyDescent="0.3">
      <c r="C263" s="235" t="s">
        <v>109</v>
      </c>
      <c r="D263" s="149"/>
      <c r="E263" s="149"/>
      <c r="F263" s="232">
        <f>SUM(F259:F262)</f>
        <v>-548824339.35000038</v>
      </c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</row>
    <row r="264" spans="3:17" x14ac:dyDescent="0.3"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</row>
    <row r="265" spans="3:17" x14ac:dyDescent="0.3"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</row>
    <row r="266" spans="3:17" x14ac:dyDescent="0.3">
      <c r="C266" s="149"/>
      <c r="D266" s="149"/>
      <c r="E266" s="149"/>
      <c r="F266" s="236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</row>
    <row r="267" spans="3:17" x14ac:dyDescent="0.3"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</row>
    <row r="268" spans="3:17" x14ac:dyDescent="0.3"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</row>
    <row r="269" spans="3:17" x14ac:dyDescent="0.3"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</row>
    <row r="270" spans="3:17" x14ac:dyDescent="0.3"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</row>
    <row r="271" spans="3:17" x14ac:dyDescent="0.3"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</row>
    <row r="272" spans="3:17" x14ac:dyDescent="0.3"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</row>
    <row r="273" spans="3:17" x14ac:dyDescent="0.3"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</row>
    <row r="274" spans="3:17" x14ac:dyDescent="0.3"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</row>
    <row r="275" spans="3:17" x14ac:dyDescent="0.3"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</row>
    <row r="276" spans="3:17" x14ac:dyDescent="0.3"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</row>
    <row r="277" spans="3:17" x14ac:dyDescent="0.3"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</row>
    <row r="278" spans="3:17" x14ac:dyDescent="0.3"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</row>
    <row r="279" spans="3:17" x14ac:dyDescent="0.3"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</row>
    <row r="280" spans="3:17" x14ac:dyDescent="0.3"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</row>
    <row r="281" spans="3:17" x14ac:dyDescent="0.3"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</row>
    <row r="282" spans="3:17" x14ac:dyDescent="0.3"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</row>
    <row r="283" spans="3:17" x14ac:dyDescent="0.3"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</row>
    <row r="284" spans="3:17" x14ac:dyDescent="0.3"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</row>
    <row r="285" spans="3:17" x14ac:dyDescent="0.3"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</row>
    <row r="286" spans="3:17" x14ac:dyDescent="0.3"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</row>
    <row r="287" spans="3:17" x14ac:dyDescent="0.3"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</row>
    <row r="288" spans="3:17" x14ac:dyDescent="0.3"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</row>
    <row r="289" spans="3:17" x14ac:dyDescent="0.3"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</row>
    <row r="290" spans="3:17" x14ac:dyDescent="0.3"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</row>
    <row r="291" spans="3:17" x14ac:dyDescent="0.3"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</row>
    <row r="292" spans="3:17" x14ac:dyDescent="0.3"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</row>
    <row r="293" spans="3:17" x14ac:dyDescent="0.3"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</row>
    <row r="294" spans="3:17" x14ac:dyDescent="0.3"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</row>
    <row r="295" spans="3:17" x14ac:dyDescent="0.3"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</row>
    <row r="296" spans="3:17" x14ac:dyDescent="0.3"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</row>
    <row r="297" spans="3:17" x14ac:dyDescent="0.3"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</row>
    <row r="298" spans="3:17" x14ac:dyDescent="0.3"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</row>
    <row r="299" spans="3:17" x14ac:dyDescent="0.3"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</row>
    <row r="300" spans="3:17" x14ac:dyDescent="0.3"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</row>
    <row r="301" spans="3:17" x14ac:dyDescent="0.3"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</row>
    <row r="302" spans="3:17" x14ac:dyDescent="0.3"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</row>
    <row r="303" spans="3:17" x14ac:dyDescent="0.3"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</row>
    <row r="304" spans="3:17" x14ac:dyDescent="0.3"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</row>
    <row r="305" spans="3:17" x14ac:dyDescent="0.3"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</row>
    <row r="306" spans="3:17" x14ac:dyDescent="0.3"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</row>
    <row r="307" spans="3:17" x14ac:dyDescent="0.3"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</row>
    <row r="308" spans="3:17" x14ac:dyDescent="0.3"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</row>
    <row r="309" spans="3:17" x14ac:dyDescent="0.3"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</row>
    <row r="310" spans="3:17" x14ac:dyDescent="0.3"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</row>
    <row r="311" spans="3:17" x14ac:dyDescent="0.3"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</row>
    <row r="312" spans="3:17" x14ac:dyDescent="0.3"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</row>
    <row r="313" spans="3:17" x14ac:dyDescent="0.3"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</row>
    <row r="314" spans="3:17" x14ac:dyDescent="0.3"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</row>
    <row r="315" spans="3:17" x14ac:dyDescent="0.3"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</row>
    <row r="316" spans="3:17" x14ac:dyDescent="0.3"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</row>
    <row r="317" spans="3:17" x14ac:dyDescent="0.3"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</row>
    <row r="318" spans="3:17" x14ac:dyDescent="0.3"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</row>
    <row r="319" spans="3:17" x14ac:dyDescent="0.3"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</row>
    <row r="320" spans="3:17" x14ac:dyDescent="0.3"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</row>
    <row r="321" spans="3:17" x14ac:dyDescent="0.3"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</row>
    <row r="322" spans="3:17" x14ac:dyDescent="0.3"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</row>
    <row r="323" spans="3:17" x14ac:dyDescent="0.3"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</row>
    <row r="324" spans="3:17" x14ac:dyDescent="0.3"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</row>
    <row r="325" spans="3:17" x14ac:dyDescent="0.3"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</row>
    <row r="326" spans="3:17" x14ac:dyDescent="0.3"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</row>
    <row r="327" spans="3:17" x14ac:dyDescent="0.3"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</row>
    <row r="328" spans="3:17" x14ac:dyDescent="0.3"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</row>
    <row r="329" spans="3:17" x14ac:dyDescent="0.3"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</row>
    <row r="330" spans="3:17" x14ac:dyDescent="0.3"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</row>
    <row r="331" spans="3:17" x14ac:dyDescent="0.3"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</row>
    <row r="332" spans="3:17" x14ac:dyDescent="0.3"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</row>
    <row r="333" spans="3:17" x14ac:dyDescent="0.3"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</row>
    <row r="334" spans="3:17" x14ac:dyDescent="0.3"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</row>
    <row r="335" spans="3:17" x14ac:dyDescent="0.3"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</row>
    <row r="336" spans="3:17" x14ac:dyDescent="0.3"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</row>
    <row r="337" spans="3:17" x14ac:dyDescent="0.3"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</row>
    <row r="338" spans="3:17" x14ac:dyDescent="0.3"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</row>
    <row r="339" spans="3:17" x14ac:dyDescent="0.3"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</row>
    <row r="340" spans="3:17" x14ac:dyDescent="0.3"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</row>
    <row r="341" spans="3:17" x14ac:dyDescent="0.3"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</row>
    <row r="342" spans="3:17" x14ac:dyDescent="0.3"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</row>
    <row r="343" spans="3:17" x14ac:dyDescent="0.3"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</row>
    <row r="344" spans="3:17" x14ac:dyDescent="0.3"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</row>
    <row r="345" spans="3:17" x14ac:dyDescent="0.3"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</row>
    <row r="346" spans="3:17" x14ac:dyDescent="0.3"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</row>
    <row r="347" spans="3:17" x14ac:dyDescent="0.3"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</row>
    <row r="348" spans="3:17" x14ac:dyDescent="0.3"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</row>
    <row r="349" spans="3:17" x14ac:dyDescent="0.3"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</row>
    <row r="350" spans="3:17" x14ac:dyDescent="0.3"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</row>
    <row r="351" spans="3:17" x14ac:dyDescent="0.3"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</row>
    <row r="352" spans="3:17" x14ac:dyDescent="0.3"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</row>
    <row r="353" spans="3:17" x14ac:dyDescent="0.3"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</row>
    <row r="354" spans="3:17" x14ac:dyDescent="0.3"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</row>
    <row r="355" spans="3:17" x14ac:dyDescent="0.3"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</row>
    <row r="356" spans="3:17" x14ac:dyDescent="0.3"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</row>
    <row r="357" spans="3:17" x14ac:dyDescent="0.3"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</row>
    <row r="358" spans="3:17" x14ac:dyDescent="0.3"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</row>
    <row r="359" spans="3:17" x14ac:dyDescent="0.3"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</row>
    <row r="360" spans="3:17" x14ac:dyDescent="0.3"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</row>
    <row r="361" spans="3:17" x14ac:dyDescent="0.3"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</row>
    <row r="362" spans="3:17" x14ac:dyDescent="0.3"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</row>
    <row r="363" spans="3:17" x14ac:dyDescent="0.3"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</row>
    <row r="364" spans="3:17" x14ac:dyDescent="0.3"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</row>
    <row r="365" spans="3:17" x14ac:dyDescent="0.3"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</row>
    <row r="366" spans="3:17" x14ac:dyDescent="0.3"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</row>
    <row r="367" spans="3:17" x14ac:dyDescent="0.3"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</row>
    <row r="368" spans="3:17" x14ac:dyDescent="0.3"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</row>
    <row r="369" spans="3:17" x14ac:dyDescent="0.3"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</row>
    <row r="370" spans="3:17" x14ac:dyDescent="0.3"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</row>
    <row r="371" spans="3:17" x14ac:dyDescent="0.3"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</row>
    <row r="372" spans="3:17" x14ac:dyDescent="0.3"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</row>
    <row r="373" spans="3:17" x14ac:dyDescent="0.3"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</row>
    <row r="374" spans="3:17" x14ac:dyDescent="0.3"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</row>
    <row r="375" spans="3:17" x14ac:dyDescent="0.3"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</row>
    <row r="376" spans="3:17" x14ac:dyDescent="0.3"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</row>
    <row r="377" spans="3:17" x14ac:dyDescent="0.3"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</row>
    <row r="378" spans="3:17" x14ac:dyDescent="0.3"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</row>
    <row r="379" spans="3:17" x14ac:dyDescent="0.3"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</row>
    <row r="380" spans="3:17" x14ac:dyDescent="0.3"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</row>
    <row r="381" spans="3:17" x14ac:dyDescent="0.3"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</row>
    <row r="382" spans="3:17" x14ac:dyDescent="0.3"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</row>
    <row r="383" spans="3:17" x14ac:dyDescent="0.3"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</row>
    <row r="384" spans="3:17" x14ac:dyDescent="0.3"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</row>
    <row r="385" spans="3:17" x14ac:dyDescent="0.3"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</row>
    <row r="386" spans="3:17" x14ac:dyDescent="0.3"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</row>
    <row r="387" spans="3:17" x14ac:dyDescent="0.3"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</row>
    <row r="388" spans="3:17" x14ac:dyDescent="0.3"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</row>
  </sheetData>
  <pageMargins left="0.7" right="0.7" top="0.75" bottom="0.75" header="0.3" footer="0.3"/>
  <ignoredErrors>
    <ignoredError sqref="D169:D170 D152:D153 D186:D187 D220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Assumptions</vt:lpstr>
      <vt:lpstr>Forecast_Model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Mishra</dc:creator>
  <cp:lastModifiedBy>Debasish Mishra</cp:lastModifiedBy>
  <dcterms:created xsi:type="dcterms:W3CDTF">2026-02-14T18:00:44Z</dcterms:created>
  <dcterms:modified xsi:type="dcterms:W3CDTF">2026-07-31T12:13:33Z</dcterms:modified>
</cp:coreProperties>
</file>